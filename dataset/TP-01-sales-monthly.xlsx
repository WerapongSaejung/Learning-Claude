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ยอดขายรายเดือน" sheetId="1" state="visible" r:id="rId3"/>
    <sheet name="สรุปรายเดือน" sheetId="2" state="visible" r:id="rId4"/>
    <sheet name="หมายเหต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<sst xmlns="http://schemas.openxmlformats.org/spreadsheetml/2006/main" count="3648" uniqueCount="65">
  <si>
    <t xml:space="preserve">เดือน</t>
  </si>
  <si>
    <t xml:space="preserve">ลำดับเดือน</t>
  </si>
  <si>
    <t xml:space="preserve">ผลิตภัณฑ์</t>
  </si>
  <si>
    <t xml:space="preserve">กลุ่มผลิตภัณฑ์</t>
  </si>
  <si>
    <t xml:space="preserve">ช่องทางจำหน่าย</t>
  </si>
  <si>
    <t xml:space="preserve">หน่วยนับ</t>
  </si>
  <si>
    <t xml:space="preserve">จำนวนที่ขาย</t>
  </si>
  <si>
    <t xml:space="preserve">ราคาต่อหน่วย (บาท)</t>
  </si>
  <si>
    <t xml:space="preserve">ยอดขาย (บาท)</t>
  </si>
  <si>
    <t xml:space="preserve">ม.ค.</t>
  </si>
  <si>
    <t xml:space="preserve">Ceftriaxone T P</t>
  </si>
  <si>
    <t xml:space="preserve">ยาฉีดปราศจากเชื้อ — Cephalosporin</t>
  </si>
  <si>
    <t xml:space="preserve">โรงพยาบาลรัฐ</t>
  </si>
  <si>
    <t xml:space="preserve">vial</t>
  </si>
  <si>
    <t xml:space="preserve">โรงพยาบาลเอกชน</t>
  </si>
  <si>
    <t xml:space="preserve">ร้านขายยา</t>
  </si>
  <si>
    <t xml:space="preserve">ส่งออก</t>
  </si>
  <si>
    <t xml:space="preserve">Cefazillin</t>
  </si>
  <si>
    <t xml:space="preserve">Clatacef</t>
  </si>
  <si>
    <t xml:space="preserve">Sterile Ampicillin Sodium T P</t>
  </si>
  <si>
    <t xml:space="preserve">ยาฉีดปราศจากเชื้อ</t>
  </si>
  <si>
    <t xml:space="preserve">Gentamicin T P</t>
  </si>
  <si>
    <t xml:space="preserve">ampoule</t>
  </si>
  <si>
    <t xml:space="preserve">Kanamycin Sulfate Injection T P</t>
  </si>
  <si>
    <t xml:space="preserve">Furosemide Injection T P</t>
  </si>
  <si>
    <t xml:space="preserve">Vitamin C Injection T P</t>
  </si>
  <si>
    <t xml:space="preserve">B-100 Complex Injection T P</t>
  </si>
  <si>
    <t xml:space="preserve">Paramol T P</t>
  </si>
  <si>
    <t xml:space="preserve">ยาเม็ด</t>
  </si>
  <si>
    <t xml:space="preserve">กล่อง 100 เม็ด</t>
  </si>
  <si>
    <t xml:space="preserve">Tramadol T P</t>
  </si>
  <si>
    <t xml:space="preserve">K-CIL</t>
  </si>
  <si>
    <t xml:space="preserve">Dexton</t>
  </si>
  <si>
    <t xml:space="preserve">Medeton</t>
  </si>
  <si>
    <t xml:space="preserve">ยาใช้ภายนอก</t>
  </si>
  <si>
    <t xml:space="preserve">ขวด</t>
  </si>
  <si>
    <t xml:space="preserve">Transic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</si>
  <si>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</si>
  <si>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</si>
  <si>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</si>
  <si>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</si>
  <si>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</si>
  <si>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</si>
  <si>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</si>
  <si>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</si>
  <si>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</si>
  <si>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</si>
  <si>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</si>
  <si>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ไตรมาส</t>
  </si>
  <si>
    <t xml:space="preserve">ยอดขายรวม (บาท)</t>
  </si>
  <si>
    <t xml:space="preserve">ยอดขาย รพ.รัฐ</t>
  </si>
  <si>
    <t xml:space="preserve">ยอดขาย รพ.เอกชน</t>
  </si>
  <si>
    <t xml:space="preserve">ยอดขาย ร้านขายยา</t>
  </si>
  <si>
    <t xml:space="preserve">ยอดขาย ส่งออก</t>
  </si>
  <si>
    <t xml:space="preserve">Q1</t>
  </si>
  <si>
    <t xml:space="preserve">Q2</t>
  </si>
  <si>
    <t xml:space="preserve">Q3</t>
  </si>
  <si>
    <t xml:space="preserve">Q4</t>
  </si>
  <si>
    <t xml:space="preserve">รวมทั้งปี</t>
  </si>
  <si>
    <t xml:space="preserve">หมายเหตุประกอบไฟล์</t>
  </si>
  <si>
    <t xml:space="preserve">ข้อมูลสมมติเพื่อการฝึกอบรม — ไม่ใช่ข้อมูลจริงของบริษัท ห้ามนำไปใช้อ้างอิงในงานจริง</t>
  </si>
  <si>
    <t xml:space="preserve">ชีต "ยอดขายรายเดือน" คือข้อมูลระดับรายการ 720 แถว (12 เดือน x 15 ผลิตภัณฑ์ x 4 ช่องทาง) ปีบัญชี 2568</t>
  </si>
  <si>
    <t xml:space="preserve">ชีต "สรุปรายเดือน" คำนวณด้วยสูตร SUMIFS จากชีตแรก แก้ข้อมูลต้นทางแล้วตัวเลขสรุปขยับตามเอง</t>
  </si>
  <si>
    <t xml:space="preserve">ราคาต่อหน่วยต่างกันตามช่องทาง: โรงพยาบาลรัฐ 90% ของราคาอ้างอิง (ได้จากการประมูล), โรงพยาบาลเอกชน 105%, ร้านขายยา 100%, ส่งออก 78%</t>
  </si>
  <si>
    <t xml:space="preserve">ไฟล์นี้ใช้ประกอบโมดูล M2 (ทำงานกับไฟล์) และ M3 (สร้างไฟล์ออกมาจริง)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</si>
</sst>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3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3" t="n">
        <v>22780</v>
      </c>
      <c r="H2" s="4" t="n">
        <v>37.8</v>
      </c>
      <c r="I2" s="4" t="n">
        <f aca="false">G2*H2</f>
        <v>861084</v>
      </c>
    </row>
    <row r="3" customFormat="false" ht="15" hidden="false" customHeight="false" outlineLevel="0" collapsed="false">
      <c r="A3" s="2" t="s">
        <v>9</v>
      </c>
      <c r="B3" s="2" t="n">
        <v>1</v>
      </c>
      <c r="C3" s="2" t="s">
        <v>10</v>
      </c>
      <c r="D3" s="2" t="s">
        <v>11</v>
      </c>
      <c r="E3" s="2" t="s">
        <v>14</v>
      </c>
      <c r="F3" s="2" t="s">
        <v>13</v>
      </c>
      <c r="G3" s="3" t="n">
        <v>10619</v>
      </c>
      <c r="H3" s="4" t="n">
        <v>44.1</v>
      </c>
      <c r="I3" s="4" t="n">
        <f aca="false">G3*H3</f>
        <v>468297.9</v>
      </c>
    </row>
    <row r="4" customFormat="false" ht="15" hidden="false" customHeight="false" outlineLevel="0" collapsed="false">
      <c r="A4" s="2" t="s">
        <v>9</v>
      </c>
      <c r="B4" s="2" t="n">
        <v>1</v>
      </c>
      <c r="C4" s="2" t="s">
        <v>10</v>
      </c>
      <c r="D4" s="2" t="s">
        <v>11</v>
      </c>
      <c r="E4" s="2" t="s">
        <v>15</v>
      </c>
      <c r="F4" s="2" t="s">
        <v>13</v>
      </c>
      <c r="G4" s="3" t="n">
        <v>12666</v>
      </c>
      <c r="H4" s="4" t="n">
        <v>42</v>
      </c>
      <c r="I4" s="4" t="n">
        <f aca="false">G4*H4</f>
        <v>531972</v>
      </c>
    </row>
    <row r="5" customFormat="false" ht="15" hidden="false" customHeight="false" outlineLevel="0" collapsed="false">
      <c r="A5" s="2" t="s">
        <v>9</v>
      </c>
      <c r="B5" s="2" t="n">
        <v>1</v>
      </c>
      <c r="C5" s="2" t="s">
        <v>10</v>
      </c>
      <c r="D5" s="2" t="s">
        <v>11</v>
      </c>
      <c r="E5" s="2" t="s">
        <v>16</v>
      </c>
      <c r="F5" s="2" t="s">
        <v>13</v>
      </c>
      <c r="G5" s="3" t="n">
        <v>10671</v>
      </c>
      <c r="H5" s="4" t="n">
        <v>32.76</v>
      </c>
      <c r="I5" s="4" t="n">
        <f aca="false">G5*H5</f>
        <v>349581.96</v>
      </c>
    </row>
    <row r="6" customFormat="false" ht="15" hidden="false" customHeight="false" outlineLevel="0" collapsed="false">
      <c r="A6" s="2" t="s">
        <v>9</v>
      </c>
      <c r="B6" s="2" t="n">
        <v>1</v>
      </c>
      <c r="C6" s="2" t="s">
        <v>17</v>
      </c>
      <c r="D6" s="2" t="s">
        <v>11</v>
      </c>
      <c r="E6" s="2" t="s">
        <v>12</v>
      </c>
      <c r="F6" s="2" t="s">
        <v>13</v>
      </c>
      <c r="G6" s="3" t="n">
        <v>16492</v>
      </c>
      <c r="H6" s="4" t="n">
        <v>34.2</v>
      </c>
      <c r="I6" s="4" t="n">
        <f aca="false">G6*H6</f>
        <v>564026.4</v>
      </c>
    </row>
    <row r="7" customFormat="false" ht="15" hidden="false" customHeight="false" outlineLevel="0" collapsed="false">
      <c r="A7" s="2" t="s">
        <v>9</v>
      </c>
      <c r="B7" s="2" t="n">
        <v>1</v>
      </c>
      <c r="C7" s="2" t="s">
        <v>17</v>
      </c>
      <c r="D7" s="2" t="s">
        <v>11</v>
      </c>
      <c r="E7" s="2" t="s">
        <v>14</v>
      </c>
      <c r="F7" s="2" t="s">
        <v>13</v>
      </c>
      <c r="G7" s="3" t="n">
        <v>7030</v>
      </c>
      <c r="H7" s="4" t="n">
        <v>39.9</v>
      </c>
      <c r="I7" s="4" t="n">
        <f aca="false">G7*H7</f>
        <v>280497</v>
      </c>
    </row>
    <row r="8" customFormat="false" ht="15" hidden="false" customHeight="false" outlineLevel="0" collapsed="false">
      <c r="A8" s="2" t="s">
        <v>9</v>
      </c>
      <c r="B8" s="2" t="n">
        <v>1</v>
      </c>
      <c r="C8" s="2" t="s">
        <v>17</v>
      </c>
      <c r="D8" s="2" t="s">
        <v>11</v>
      </c>
      <c r="E8" s="2" t="s">
        <v>15</v>
      </c>
      <c r="F8" s="2" t="s">
        <v>13</v>
      </c>
      <c r="G8" s="3" t="n">
        <v>8263</v>
      </c>
      <c r="H8" s="4" t="n">
        <v>38</v>
      </c>
      <c r="I8" s="4" t="n">
        <f aca="false">G8*H8</f>
        <v>313994</v>
      </c>
    </row>
    <row r="9" customFormat="false" ht="15" hidden="false" customHeight="false" outlineLevel="0" collapsed="false">
      <c r="A9" s="2" t="s">
        <v>9</v>
      </c>
      <c r="B9" s="2" t="n">
        <v>1</v>
      </c>
      <c r="C9" s="2" t="s">
        <v>17</v>
      </c>
      <c r="D9" s="2" t="s">
        <v>11</v>
      </c>
      <c r="E9" s="2" t="s">
        <v>16</v>
      </c>
      <c r="F9" s="2" t="s">
        <v>13</v>
      </c>
      <c r="G9" s="3" t="n">
        <v>6833</v>
      </c>
      <c r="H9" s="4" t="n">
        <v>29.64</v>
      </c>
      <c r="I9" s="4" t="n">
        <f aca="false">G9*H9</f>
        <v>202530.12</v>
      </c>
    </row>
    <row r="10" customFormat="false" ht="15" hidden="false" customHeight="false" outlineLevel="0" collapsed="false">
      <c r="A10" s="2" t="s">
        <v>9</v>
      </c>
      <c r="B10" s="2" t="n">
        <v>1</v>
      </c>
      <c r="C10" s="2" t="s">
        <v>18</v>
      </c>
      <c r="D10" s="2" t="s">
        <v>11</v>
      </c>
      <c r="E10" s="2" t="s">
        <v>12</v>
      </c>
      <c r="F10" s="2" t="s">
        <v>13</v>
      </c>
      <c r="G10" s="3" t="n">
        <v>8467</v>
      </c>
      <c r="H10" s="4" t="n">
        <v>49.5</v>
      </c>
      <c r="I10" s="4" t="n">
        <f aca="false">G10*H10</f>
        <v>419116.5</v>
      </c>
    </row>
    <row r="11" customFormat="false" ht="15" hidden="false" customHeight="false" outlineLevel="0" collapsed="false">
      <c r="A11" s="2" t="s">
        <v>9</v>
      </c>
      <c r="B11" s="2" t="n">
        <v>1</v>
      </c>
      <c r="C11" s="2" t="s">
        <v>18</v>
      </c>
      <c r="D11" s="2" t="s">
        <v>11</v>
      </c>
      <c r="E11" s="2" t="s">
        <v>14</v>
      </c>
      <c r="F11" s="2" t="s">
        <v>13</v>
      </c>
      <c r="G11" s="3" t="n">
        <v>3920</v>
      </c>
      <c r="H11" s="4" t="n">
        <v>57.75</v>
      </c>
      <c r="I11" s="4" t="n">
        <f aca="false">G11*H11</f>
        <v>226380</v>
      </c>
    </row>
    <row r="12" customFormat="false" ht="15" hidden="false" customHeight="false" outlineLevel="0" collapsed="false">
      <c r="A12" s="2" t="s">
        <v>9</v>
      </c>
      <c r="B12" s="2" t="n">
        <v>1</v>
      </c>
      <c r="C12" s="2" t="s">
        <v>18</v>
      </c>
      <c r="D12" s="2" t="s">
        <v>11</v>
      </c>
      <c r="E12" s="2" t="s">
        <v>15</v>
      </c>
      <c r="F12" s="2" t="s">
        <v>13</v>
      </c>
      <c r="G12" s="3" t="n">
        <v>4513</v>
      </c>
      <c r="H12" s="4" t="n">
        <v>55</v>
      </c>
      <c r="I12" s="4" t="n">
        <f aca="false">G12*H12</f>
        <v>248215</v>
      </c>
    </row>
    <row r="13" customFormat="false" ht="15" hidden="false" customHeight="false" outlineLevel="0" collapsed="false">
      <c r="A13" s="2" t="s">
        <v>9</v>
      </c>
      <c r="B13" s="2" t="n">
        <v>1</v>
      </c>
      <c r="C13" s="2" t="s">
        <v>18</v>
      </c>
      <c r="D13" s="2" t="s">
        <v>11</v>
      </c>
      <c r="E13" s="2" t="s">
        <v>16</v>
      </c>
      <c r="F13" s="2" t="s">
        <v>13</v>
      </c>
      <c r="G13" s="3" t="n">
        <v>3597</v>
      </c>
      <c r="H13" s="4" t="n">
        <v>42.9</v>
      </c>
      <c r="I13" s="4" t="n">
        <f aca="false">G13*H13</f>
        <v>154311.3</v>
      </c>
    </row>
    <row r="14" customFormat="false" ht="15" hidden="false" customHeight="false" outlineLevel="0" collapsed="false">
      <c r="A14" s="2" t="s">
        <v>9</v>
      </c>
      <c r="B14" s="2" t="n">
        <v>1</v>
      </c>
      <c r="C14" s="2" t="s">
        <v>19</v>
      </c>
      <c r="D14" s="2" t="s">
        <v>20</v>
      </c>
      <c r="E14" s="2" t="s">
        <v>12</v>
      </c>
      <c r="F14" s="2" t="s">
        <v>13</v>
      </c>
      <c r="G14" s="3" t="n">
        <v>17620</v>
      </c>
      <c r="H14" s="4" t="n">
        <v>23.4</v>
      </c>
      <c r="I14" s="4" t="n">
        <f aca="false">G14*H14</f>
        <v>412308</v>
      </c>
    </row>
    <row r="15" customFormat="false" ht="15" hidden="false" customHeight="false" outlineLevel="0" collapsed="false">
      <c r="A15" s="2" t="s">
        <v>9</v>
      </c>
      <c r="B15" s="2" t="n">
        <v>1</v>
      </c>
      <c r="C15" s="2" t="s">
        <v>19</v>
      </c>
      <c r="D15" s="2" t="s">
        <v>20</v>
      </c>
      <c r="E15" s="2" t="s">
        <v>14</v>
      </c>
      <c r="F15" s="2" t="s">
        <v>13</v>
      </c>
      <c r="G15" s="3" t="n">
        <v>7690</v>
      </c>
      <c r="H15" s="4" t="n">
        <v>27.3</v>
      </c>
      <c r="I15" s="4" t="n">
        <f aca="false">G15*H15</f>
        <v>209937</v>
      </c>
    </row>
    <row r="16" customFormat="false" ht="15" hidden="false" customHeight="false" outlineLevel="0" collapsed="false">
      <c r="A16" s="2" t="s">
        <v>9</v>
      </c>
      <c r="B16" s="2" t="n">
        <v>1</v>
      </c>
      <c r="C16" s="2" t="s">
        <v>19</v>
      </c>
      <c r="D16" s="2" t="s">
        <v>20</v>
      </c>
      <c r="E16" s="2" t="s">
        <v>15</v>
      </c>
      <c r="F16" s="2" t="s">
        <v>13</v>
      </c>
      <c r="G16" s="3" t="n">
        <v>10278</v>
      </c>
      <c r="H16" s="4" t="n">
        <v>26</v>
      </c>
      <c r="I16" s="4" t="n">
        <f aca="false">G16*H16</f>
        <v>267228</v>
      </c>
    </row>
    <row r="17" customFormat="false" ht="15" hidden="false" customHeight="false" outlineLevel="0" collapsed="false">
      <c r="A17" s="2" t="s">
        <v>9</v>
      </c>
      <c r="B17" s="2" t="n">
        <v>1</v>
      </c>
      <c r="C17" s="2" t="s">
        <v>19</v>
      </c>
      <c r="D17" s="2" t="s">
        <v>20</v>
      </c>
      <c r="E17" s="2" t="s">
        <v>16</v>
      </c>
      <c r="F17" s="2" t="s">
        <v>13</v>
      </c>
      <c r="G17" s="3" t="n">
        <v>7881</v>
      </c>
      <c r="H17" s="4" t="n">
        <v>20.28</v>
      </c>
      <c r="I17" s="4" t="n">
        <f aca="false">G17*H17</f>
        <v>159826.68</v>
      </c>
    </row>
    <row r="18" customFormat="false" ht="15" hidden="false" customHeight="false" outlineLevel="0" collapsed="false">
      <c r="A18" s="2" t="s">
        <v>9</v>
      </c>
      <c r="B18" s="2" t="n">
        <v>1</v>
      </c>
      <c r="C18" s="2" t="s">
        <v>21</v>
      </c>
      <c r="D18" s="2" t="s">
        <v>20</v>
      </c>
      <c r="E18" s="2" t="s">
        <v>12</v>
      </c>
      <c r="F18" s="2" t="s">
        <v>22</v>
      </c>
      <c r="G18" s="3" t="n">
        <v>21470</v>
      </c>
      <c r="H18" s="4" t="n">
        <v>12.6</v>
      </c>
      <c r="I18" s="4" t="n">
        <f aca="false">G18*H18</f>
        <v>270522</v>
      </c>
    </row>
    <row r="19" customFormat="false" ht="15" hidden="false" customHeight="false" outlineLevel="0" collapsed="false">
      <c r="A19" s="2" t="s">
        <v>9</v>
      </c>
      <c r="B19" s="2" t="n">
        <v>1</v>
      </c>
      <c r="C19" s="2" t="s">
        <v>21</v>
      </c>
      <c r="D19" s="2" t="s">
        <v>20</v>
      </c>
      <c r="E19" s="2" t="s">
        <v>14</v>
      </c>
      <c r="F19" s="2" t="s">
        <v>22</v>
      </c>
      <c r="G19" s="3" t="n">
        <v>8831</v>
      </c>
      <c r="H19" s="4" t="n">
        <v>14.7</v>
      </c>
      <c r="I19" s="4" t="n">
        <f aca="false">G19*H19</f>
        <v>129815.7</v>
      </c>
    </row>
    <row r="20" customFormat="false" ht="15" hidden="false" customHeight="false" outlineLevel="0" collapsed="false">
      <c r="A20" s="2" t="s">
        <v>9</v>
      </c>
      <c r="B20" s="2" t="n">
        <v>1</v>
      </c>
      <c r="C20" s="2" t="s">
        <v>21</v>
      </c>
      <c r="D20" s="2" t="s">
        <v>20</v>
      </c>
      <c r="E20" s="2" t="s">
        <v>15</v>
      </c>
      <c r="F20" s="2" t="s">
        <v>22</v>
      </c>
      <c r="G20" s="3" t="n">
        <v>11374</v>
      </c>
      <c r="H20" s="4" t="n">
        <v>14</v>
      </c>
      <c r="I20" s="4" t="n">
        <f aca="false">G20*H20</f>
        <v>159236</v>
      </c>
    </row>
    <row r="21" customFormat="false" ht="15" hidden="false" customHeight="false" outlineLevel="0" collapsed="false">
      <c r="A21" s="2" t="s">
        <v>9</v>
      </c>
      <c r="B21" s="2" t="n">
        <v>1</v>
      </c>
      <c r="C21" s="2" t="s">
        <v>21</v>
      </c>
      <c r="D21" s="2" t="s">
        <v>20</v>
      </c>
      <c r="E21" s="2" t="s">
        <v>16</v>
      </c>
      <c r="F21" s="2" t="s">
        <v>22</v>
      </c>
      <c r="G21" s="3" t="n">
        <v>9045</v>
      </c>
      <c r="H21" s="4" t="n">
        <v>10.92</v>
      </c>
      <c r="I21" s="4" t="n">
        <f aca="false">G21*H21</f>
        <v>98771.4</v>
      </c>
    </row>
    <row r="22" customFormat="false" ht="15" hidden="false" customHeight="false" outlineLevel="0" collapsed="false">
      <c r="A22" s="2" t="s">
        <v>9</v>
      </c>
      <c r="B22" s="2" t="n">
        <v>1</v>
      </c>
      <c r="C22" s="2" t="s">
        <v>23</v>
      </c>
      <c r="D22" s="2" t="s">
        <v>20</v>
      </c>
      <c r="E22" s="2" t="s">
        <v>12</v>
      </c>
      <c r="F22" s="2" t="s">
        <v>13</v>
      </c>
      <c r="G22" s="3" t="n">
        <v>6983</v>
      </c>
      <c r="H22" s="4" t="n">
        <v>27.9</v>
      </c>
      <c r="I22" s="4" t="n">
        <f aca="false">G22*H22</f>
        <v>194825.7</v>
      </c>
    </row>
    <row r="23" customFormat="false" ht="15" hidden="false" customHeight="false" outlineLevel="0" collapsed="false">
      <c r="A23" s="2" t="s">
        <v>9</v>
      </c>
      <c r="B23" s="2" t="n">
        <v>1</v>
      </c>
      <c r="C23" s="2" t="s">
        <v>23</v>
      </c>
      <c r="D23" s="2" t="s">
        <v>20</v>
      </c>
      <c r="E23" s="2" t="s">
        <v>14</v>
      </c>
      <c r="F23" s="2" t="s">
        <v>13</v>
      </c>
      <c r="G23" s="3" t="n">
        <v>3107</v>
      </c>
      <c r="H23" s="4" t="n">
        <v>32.55</v>
      </c>
      <c r="I23" s="4" t="n">
        <f aca="false">G23*H23</f>
        <v>101132.85</v>
      </c>
    </row>
    <row r="24" customFormat="false" ht="15" hidden="false" customHeight="false" outlineLevel="0" collapsed="false">
      <c r="A24" s="2" t="s">
        <v>9</v>
      </c>
      <c r="B24" s="2" t="n">
        <v>1</v>
      </c>
      <c r="C24" s="2" t="s">
        <v>23</v>
      </c>
      <c r="D24" s="2" t="s">
        <v>20</v>
      </c>
      <c r="E24" s="2" t="s">
        <v>15</v>
      </c>
      <c r="F24" s="2" t="s">
        <v>13</v>
      </c>
      <c r="G24" s="3" t="n">
        <v>3767</v>
      </c>
      <c r="H24" s="4" t="n">
        <v>31</v>
      </c>
      <c r="I24" s="4" t="n">
        <f aca="false">G24*H24</f>
        <v>116777</v>
      </c>
    </row>
    <row r="25" customFormat="false" ht="15" hidden="false" customHeight="false" outlineLevel="0" collapsed="false">
      <c r="A25" s="2" t="s">
        <v>9</v>
      </c>
      <c r="B25" s="2" t="n">
        <v>1</v>
      </c>
      <c r="C25" s="2" t="s">
        <v>23</v>
      </c>
      <c r="D25" s="2" t="s">
        <v>20</v>
      </c>
      <c r="E25" s="2" t="s">
        <v>16</v>
      </c>
      <c r="F25" s="2" t="s">
        <v>13</v>
      </c>
      <c r="G25" s="3" t="n">
        <v>3222</v>
      </c>
      <c r="H25" s="4" t="n">
        <v>24.18</v>
      </c>
      <c r="I25" s="4" t="n">
        <f aca="false">G25*H25</f>
        <v>77907.96</v>
      </c>
    </row>
    <row r="26" customFormat="false" ht="15" hidden="false" customHeight="false" outlineLevel="0" collapsed="false">
      <c r="A26" s="2" t="s">
        <v>9</v>
      </c>
      <c r="B26" s="2" t="n">
        <v>1</v>
      </c>
      <c r="C26" s="2" t="s">
        <v>24</v>
      </c>
      <c r="D26" s="2" t="s">
        <v>20</v>
      </c>
      <c r="E26" s="2" t="s">
        <v>12</v>
      </c>
      <c r="F26" s="2" t="s">
        <v>22</v>
      </c>
      <c r="G26" s="3" t="n">
        <v>27183</v>
      </c>
      <c r="H26" s="4" t="n">
        <v>10.8</v>
      </c>
      <c r="I26" s="4" t="n">
        <f aca="false">G26*H26</f>
        <v>293576.4</v>
      </c>
    </row>
    <row r="27" customFormat="false" ht="15" hidden="false" customHeight="false" outlineLevel="0" collapsed="false">
      <c r="A27" s="2" t="s">
        <v>9</v>
      </c>
      <c r="B27" s="2" t="n">
        <v>1</v>
      </c>
      <c r="C27" s="2" t="s">
        <v>24</v>
      </c>
      <c r="D27" s="2" t="s">
        <v>20</v>
      </c>
      <c r="E27" s="2" t="s">
        <v>14</v>
      </c>
      <c r="F27" s="2" t="s">
        <v>22</v>
      </c>
      <c r="G27" s="3" t="n">
        <v>10933</v>
      </c>
      <c r="H27" s="4" t="n">
        <v>12.6</v>
      </c>
      <c r="I27" s="4" t="n">
        <f aca="false">G27*H27</f>
        <v>137755.8</v>
      </c>
    </row>
    <row r="28" customFormat="false" ht="15" hidden="false" customHeight="false" outlineLevel="0" collapsed="false">
      <c r="A28" s="2" t="s">
        <v>9</v>
      </c>
      <c r="B28" s="2" t="n">
        <v>1</v>
      </c>
      <c r="C28" s="2" t="s">
        <v>24</v>
      </c>
      <c r="D28" s="2" t="s">
        <v>20</v>
      </c>
      <c r="E28" s="2" t="s">
        <v>15</v>
      </c>
      <c r="F28" s="2" t="s">
        <v>22</v>
      </c>
      <c r="G28" s="3" t="n">
        <v>13623</v>
      </c>
      <c r="H28" s="4" t="n">
        <v>12</v>
      </c>
      <c r="I28" s="4" t="n">
        <f aca="false">G28*H28</f>
        <v>163476</v>
      </c>
    </row>
    <row r="29" customFormat="false" ht="15" hidden="false" customHeight="false" outlineLevel="0" collapsed="false">
      <c r="A29" s="2" t="s">
        <v>9</v>
      </c>
      <c r="B29" s="2" t="n">
        <v>1</v>
      </c>
      <c r="C29" s="2" t="s">
        <v>24</v>
      </c>
      <c r="D29" s="2" t="s">
        <v>20</v>
      </c>
      <c r="E29" s="2" t="s">
        <v>16</v>
      </c>
      <c r="F29" s="2" t="s">
        <v>22</v>
      </c>
      <c r="G29" s="3" t="n">
        <v>11371</v>
      </c>
      <c r="H29" s="4" t="n">
        <v>9.36</v>
      </c>
      <c r="I29" s="4" t="n">
        <f aca="false">G29*H29</f>
        <v>106432.56</v>
      </c>
    </row>
    <row r="30" customFormat="false" ht="15" hidden="false" customHeight="false" outlineLevel="0" collapsed="false">
      <c r="A30" s="2" t="s">
        <v>9</v>
      </c>
      <c r="B30" s="2" t="n">
        <v>1</v>
      </c>
      <c r="C30" s="2" t="s">
        <v>25</v>
      </c>
      <c r="D30" s="2" t="s">
        <v>20</v>
      </c>
      <c r="E30" s="2" t="s">
        <v>12</v>
      </c>
      <c r="F30" s="2" t="s">
        <v>22</v>
      </c>
      <c r="G30" s="3" t="n">
        <v>35540</v>
      </c>
      <c r="H30" s="4" t="n">
        <v>8.1</v>
      </c>
      <c r="I30" s="4" t="n">
        <f aca="false">G30*H30</f>
        <v>287874</v>
      </c>
    </row>
    <row r="31" customFormat="false" ht="15" hidden="false" customHeight="false" outlineLevel="0" collapsed="false">
      <c r="A31" s="2" t="s">
        <v>9</v>
      </c>
      <c r="B31" s="2" t="n">
        <v>1</v>
      </c>
      <c r="C31" s="2" t="s">
        <v>25</v>
      </c>
      <c r="D31" s="2" t="s">
        <v>20</v>
      </c>
      <c r="E31" s="2" t="s">
        <v>14</v>
      </c>
      <c r="F31" s="2" t="s">
        <v>22</v>
      </c>
      <c r="G31" s="3" t="n">
        <v>14684</v>
      </c>
      <c r="H31" s="4" t="n">
        <v>9.45</v>
      </c>
      <c r="I31" s="4" t="n">
        <f aca="false">G31*H31</f>
        <v>138763.8</v>
      </c>
    </row>
    <row r="32" customFormat="false" ht="15" hidden="false" customHeight="false" outlineLevel="0" collapsed="false">
      <c r="A32" s="2" t="s">
        <v>9</v>
      </c>
      <c r="B32" s="2" t="n">
        <v>1</v>
      </c>
      <c r="C32" s="2" t="s">
        <v>25</v>
      </c>
      <c r="D32" s="2" t="s">
        <v>20</v>
      </c>
      <c r="E32" s="2" t="s">
        <v>15</v>
      </c>
      <c r="F32" s="2" t="s">
        <v>22</v>
      </c>
      <c r="G32" s="3" t="n">
        <v>17450</v>
      </c>
      <c r="H32" s="4" t="n">
        <v>9</v>
      </c>
      <c r="I32" s="4" t="n">
        <f aca="false">G32*H32</f>
        <v>157050</v>
      </c>
    </row>
    <row r="33" customFormat="false" ht="15" hidden="false" customHeight="false" outlineLevel="0" collapsed="false">
      <c r="A33" s="2" t="s">
        <v>9</v>
      </c>
      <c r="B33" s="2" t="n">
        <v>1</v>
      </c>
      <c r="C33" s="2" t="s">
        <v>25</v>
      </c>
      <c r="D33" s="2" t="s">
        <v>20</v>
      </c>
      <c r="E33" s="2" t="s">
        <v>16</v>
      </c>
      <c r="F33" s="2" t="s">
        <v>22</v>
      </c>
      <c r="G33" s="3" t="n">
        <v>14221</v>
      </c>
      <c r="H33" s="4" t="n">
        <v>7.02</v>
      </c>
      <c r="I33" s="4" t="n">
        <f aca="false">G33*H33</f>
        <v>99831.42</v>
      </c>
    </row>
    <row r="34" customFormat="false" ht="15" hidden="false" customHeight="false" outlineLevel="0" collapsed="false">
      <c r="A34" s="2" t="s">
        <v>9</v>
      </c>
      <c r="B34" s="2" t="n">
        <v>1</v>
      </c>
      <c r="C34" s="2" t="s">
        <v>26</v>
      </c>
      <c r="D34" s="2" t="s">
        <v>20</v>
      </c>
      <c r="E34" s="2" t="s">
        <v>12</v>
      </c>
      <c r="F34" s="2" t="s">
        <v>22</v>
      </c>
      <c r="G34" s="3" t="n">
        <v>20323</v>
      </c>
      <c r="H34" s="4" t="n">
        <v>14.4</v>
      </c>
      <c r="I34" s="4" t="n">
        <f aca="false">G34*H34</f>
        <v>292651.2</v>
      </c>
    </row>
    <row r="35" customFormat="false" ht="15" hidden="false" customHeight="false" outlineLevel="0" collapsed="false">
      <c r="A35" s="2" t="s">
        <v>9</v>
      </c>
      <c r="B35" s="2" t="n">
        <v>1</v>
      </c>
      <c r="C35" s="2" t="s">
        <v>26</v>
      </c>
      <c r="D35" s="2" t="s">
        <v>20</v>
      </c>
      <c r="E35" s="2" t="s">
        <v>14</v>
      </c>
      <c r="F35" s="2" t="s">
        <v>22</v>
      </c>
      <c r="G35" s="3" t="n">
        <v>8261</v>
      </c>
      <c r="H35" s="4" t="n">
        <v>16.8</v>
      </c>
      <c r="I35" s="4" t="n">
        <f aca="false">G35*H35</f>
        <v>138784.8</v>
      </c>
    </row>
    <row r="36" customFormat="false" ht="15" hidden="false" customHeight="false" outlineLevel="0" collapsed="false">
      <c r="A36" s="2" t="s">
        <v>9</v>
      </c>
      <c r="B36" s="2" t="n">
        <v>1</v>
      </c>
      <c r="C36" s="2" t="s">
        <v>26</v>
      </c>
      <c r="D36" s="2" t="s">
        <v>20</v>
      </c>
      <c r="E36" s="2" t="s">
        <v>15</v>
      </c>
      <c r="F36" s="2" t="s">
        <v>22</v>
      </c>
      <c r="G36" s="3" t="n">
        <v>10844</v>
      </c>
      <c r="H36" s="4" t="n">
        <v>16</v>
      </c>
      <c r="I36" s="4" t="n">
        <f aca="false">G36*H36</f>
        <v>173504</v>
      </c>
    </row>
    <row r="37" customFormat="false" ht="15" hidden="false" customHeight="false" outlineLevel="0" collapsed="false">
      <c r="A37" s="2" t="s">
        <v>9</v>
      </c>
      <c r="B37" s="2" t="n">
        <v>1</v>
      </c>
      <c r="C37" s="2" t="s">
        <v>26</v>
      </c>
      <c r="D37" s="2" t="s">
        <v>20</v>
      </c>
      <c r="E37" s="2" t="s">
        <v>16</v>
      </c>
      <c r="F37" s="2" t="s">
        <v>22</v>
      </c>
      <c r="G37" s="3" t="n">
        <v>8150</v>
      </c>
      <c r="H37" s="4" t="n">
        <v>12.48</v>
      </c>
      <c r="I37" s="4" t="n">
        <f aca="false">G37*H37</f>
        <v>101712</v>
      </c>
    </row>
    <row r="38" customFormat="false" ht="15" hidden="false" customHeight="false" outlineLevel="0" collapsed="false">
      <c r="A38" s="2" t="s">
        <v>9</v>
      </c>
      <c r="B38" s="2" t="n">
        <v>1</v>
      </c>
      <c r="C38" s="2" t="s">
        <v>27</v>
      </c>
      <c r="D38" s="2" t="s">
        <v>28</v>
      </c>
      <c r="E38" s="2" t="s">
        <v>12</v>
      </c>
      <c r="F38" s="2" t="s">
        <v>29</v>
      </c>
      <c r="G38" s="3" t="n">
        <v>13270</v>
      </c>
      <c r="H38" s="4" t="n">
        <v>43.2</v>
      </c>
      <c r="I38" s="4" t="n">
        <f aca="false">G38*H38</f>
        <v>573264</v>
      </c>
    </row>
    <row r="39" customFormat="false" ht="15" hidden="false" customHeight="false" outlineLevel="0" collapsed="false">
      <c r="A39" s="2" t="s">
        <v>9</v>
      </c>
      <c r="B39" s="2" t="n">
        <v>1</v>
      </c>
      <c r="C39" s="2" t="s">
        <v>27</v>
      </c>
      <c r="D39" s="2" t="s">
        <v>28</v>
      </c>
      <c r="E39" s="2" t="s">
        <v>14</v>
      </c>
      <c r="F39" s="2" t="s">
        <v>29</v>
      </c>
      <c r="G39" s="3" t="n">
        <v>5313</v>
      </c>
      <c r="H39" s="4" t="n">
        <v>50.4</v>
      </c>
      <c r="I39" s="4" t="n">
        <f aca="false">G39*H39</f>
        <v>267775.2</v>
      </c>
    </row>
    <row r="40" customFormat="false" ht="15" hidden="false" customHeight="false" outlineLevel="0" collapsed="false">
      <c r="A40" s="2" t="s">
        <v>9</v>
      </c>
      <c r="B40" s="2" t="n">
        <v>1</v>
      </c>
      <c r="C40" s="2" t="s">
        <v>27</v>
      </c>
      <c r="D40" s="2" t="s">
        <v>28</v>
      </c>
      <c r="E40" s="2" t="s">
        <v>15</v>
      </c>
      <c r="F40" s="2" t="s">
        <v>29</v>
      </c>
      <c r="G40" s="3" t="n">
        <v>7070</v>
      </c>
      <c r="H40" s="4" t="n">
        <v>48</v>
      </c>
      <c r="I40" s="4" t="n">
        <f aca="false">G40*H40</f>
        <v>339360</v>
      </c>
    </row>
    <row r="41" customFormat="false" ht="15" hidden="false" customHeight="false" outlineLevel="0" collapsed="false">
      <c r="A41" s="2" t="s">
        <v>9</v>
      </c>
      <c r="B41" s="2" t="n">
        <v>1</v>
      </c>
      <c r="C41" s="2" t="s">
        <v>27</v>
      </c>
      <c r="D41" s="2" t="s">
        <v>28</v>
      </c>
      <c r="E41" s="2" t="s">
        <v>16</v>
      </c>
      <c r="F41" s="2" t="s">
        <v>29</v>
      </c>
      <c r="G41" s="3" t="n">
        <v>5434</v>
      </c>
      <c r="H41" s="4" t="n">
        <v>37.44</v>
      </c>
      <c r="I41" s="4" t="n">
        <f aca="false">G41*H41</f>
        <v>203448.96</v>
      </c>
    </row>
    <row r="42" customFormat="false" ht="15" hidden="false" customHeight="false" outlineLevel="0" collapsed="false">
      <c r="A42" s="2" t="s">
        <v>9</v>
      </c>
      <c r="B42" s="2" t="n">
        <v>1</v>
      </c>
      <c r="C42" s="2" t="s">
        <v>30</v>
      </c>
      <c r="D42" s="2" t="s">
        <v>28</v>
      </c>
      <c r="E42" s="2" t="s">
        <v>12</v>
      </c>
      <c r="F42" s="2" t="s">
        <v>29</v>
      </c>
      <c r="G42" s="3" t="n">
        <v>4676</v>
      </c>
      <c r="H42" s="4" t="n">
        <v>108</v>
      </c>
      <c r="I42" s="4" t="n">
        <f aca="false">G42*H42</f>
        <v>505008</v>
      </c>
    </row>
    <row r="43" customFormat="false" ht="15" hidden="false" customHeight="false" outlineLevel="0" collapsed="false">
      <c r="A43" s="2" t="s">
        <v>9</v>
      </c>
      <c r="B43" s="2" t="n">
        <v>1</v>
      </c>
      <c r="C43" s="2" t="s">
        <v>30</v>
      </c>
      <c r="D43" s="2" t="s">
        <v>28</v>
      </c>
      <c r="E43" s="2" t="s">
        <v>14</v>
      </c>
      <c r="F43" s="2" t="s">
        <v>29</v>
      </c>
      <c r="G43" s="3" t="n">
        <v>2079</v>
      </c>
      <c r="H43" s="4" t="n">
        <v>126</v>
      </c>
      <c r="I43" s="4" t="n">
        <f aca="false">G43*H43</f>
        <v>261954</v>
      </c>
    </row>
    <row r="44" customFormat="false" ht="15" hidden="false" customHeight="false" outlineLevel="0" collapsed="false">
      <c r="A44" s="2" t="s">
        <v>9</v>
      </c>
      <c r="B44" s="2" t="n">
        <v>1</v>
      </c>
      <c r="C44" s="2" t="s">
        <v>30</v>
      </c>
      <c r="D44" s="2" t="s">
        <v>28</v>
      </c>
      <c r="E44" s="2" t="s">
        <v>15</v>
      </c>
      <c r="F44" s="2" t="s">
        <v>29</v>
      </c>
      <c r="G44" s="3" t="n">
        <v>2555</v>
      </c>
      <c r="H44" s="4" t="n">
        <v>120</v>
      </c>
      <c r="I44" s="4" t="n">
        <f aca="false">G44*H44</f>
        <v>306600</v>
      </c>
    </row>
    <row r="45" customFormat="false" ht="15" hidden="false" customHeight="false" outlineLevel="0" collapsed="false">
      <c r="A45" s="2" t="s">
        <v>9</v>
      </c>
      <c r="B45" s="2" t="n">
        <v>1</v>
      </c>
      <c r="C45" s="2" t="s">
        <v>30</v>
      </c>
      <c r="D45" s="2" t="s">
        <v>28</v>
      </c>
      <c r="E45" s="2" t="s">
        <v>16</v>
      </c>
      <c r="F45" s="2" t="s">
        <v>29</v>
      </c>
      <c r="G45" s="3" t="n">
        <v>2008</v>
      </c>
      <c r="H45" s="4" t="n">
        <v>93.6</v>
      </c>
      <c r="I45" s="4" t="n">
        <f aca="false">G45*H45</f>
        <v>187948.8</v>
      </c>
    </row>
    <row r="46" customFormat="false" ht="15" hidden="false" customHeight="false" outlineLevel="0" collapsed="false">
      <c r="A46" s="2" t="s">
        <v>9</v>
      </c>
      <c r="B46" s="2" t="n">
        <v>1</v>
      </c>
      <c r="C46" s="2" t="s">
        <v>31</v>
      </c>
      <c r="D46" s="2" t="s">
        <v>28</v>
      </c>
      <c r="E46" s="2" t="s">
        <v>12</v>
      </c>
      <c r="F46" s="2" t="s">
        <v>29</v>
      </c>
      <c r="G46" s="3" t="n">
        <v>5676</v>
      </c>
      <c r="H46" s="4" t="n">
        <v>85.5</v>
      </c>
      <c r="I46" s="4" t="n">
        <f aca="false">G46*H46</f>
        <v>485298</v>
      </c>
    </row>
    <row r="47" customFormat="false" ht="15" hidden="false" customHeight="false" outlineLevel="0" collapsed="false">
      <c r="A47" s="2" t="s">
        <v>9</v>
      </c>
      <c r="B47" s="2" t="n">
        <v>1</v>
      </c>
      <c r="C47" s="2" t="s">
        <v>31</v>
      </c>
      <c r="D47" s="2" t="s">
        <v>28</v>
      </c>
      <c r="E47" s="2" t="s">
        <v>14</v>
      </c>
      <c r="F47" s="2" t="s">
        <v>29</v>
      </c>
      <c r="G47" s="3" t="n">
        <v>2410</v>
      </c>
      <c r="H47" s="4" t="n">
        <v>99.75</v>
      </c>
      <c r="I47" s="4" t="n">
        <f aca="false">G47*H47</f>
        <v>240397.5</v>
      </c>
    </row>
    <row r="48" customFormat="false" ht="15" hidden="false" customHeight="false" outlineLevel="0" collapsed="false">
      <c r="A48" s="2" t="s">
        <v>9</v>
      </c>
      <c r="B48" s="2" t="n">
        <v>1</v>
      </c>
      <c r="C48" s="2" t="s">
        <v>31</v>
      </c>
      <c r="D48" s="2" t="s">
        <v>28</v>
      </c>
      <c r="E48" s="2" t="s">
        <v>15</v>
      </c>
      <c r="F48" s="2" t="s">
        <v>29</v>
      </c>
      <c r="G48" s="3" t="n">
        <v>3163</v>
      </c>
      <c r="H48" s="4" t="n">
        <v>95</v>
      </c>
      <c r="I48" s="4" t="n">
        <f aca="false">G48*H48</f>
        <v>300485</v>
      </c>
    </row>
    <row r="49" customFormat="false" ht="15" hidden="false" customHeight="false" outlineLevel="0" collapsed="false">
      <c r="A49" s="2" t="s">
        <v>9</v>
      </c>
      <c r="B49" s="2" t="n">
        <v>1</v>
      </c>
      <c r="C49" s="2" t="s">
        <v>31</v>
      </c>
      <c r="D49" s="2" t="s">
        <v>28</v>
      </c>
      <c r="E49" s="2" t="s">
        <v>16</v>
      </c>
      <c r="F49" s="2" t="s">
        <v>29</v>
      </c>
      <c r="G49" s="3" t="n">
        <v>2366</v>
      </c>
      <c r="H49" s="4" t="n">
        <v>74.1</v>
      </c>
      <c r="I49" s="4" t="n">
        <f aca="false">G49*H49</f>
        <v>175320.6</v>
      </c>
    </row>
    <row r="50" customFormat="false" ht="15" hidden="false" customHeight="false" outlineLevel="0" collapsed="false">
      <c r="A50" s="2" t="s">
        <v>9</v>
      </c>
      <c r="B50" s="2" t="n">
        <v>1</v>
      </c>
      <c r="C50" s="2" t="s">
        <v>32</v>
      </c>
      <c r="D50" s="2" t="s">
        <v>28</v>
      </c>
      <c r="E50" s="2" t="s">
        <v>12</v>
      </c>
      <c r="F50" s="2" t="s">
        <v>29</v>
      </c>
      <c r="G50" s="3" t="n">
        <v>8591</v>
      </c>
      <c r="H50" s="4" t="n">
        <v>61.2</v>
      </c>
      <c r="I50" s="4" t="n">
        <f aca="false">G50*H50</f>
        <v>525769.2</v>
      </c>
    </row>
    <row r="51" customFormat="false" ht="15" hidden="false" customHeight="false" outlineLevel="0" collapsed="false">
      <c r="A51" s="2" t="s">
        <v>9</v>
      </c>
      <c r="B51" s="2" t="n">
        <v>1</v>
      </c>
      <c r="C51" s="2" t="s">
        <v>32</v>
      </c>
      <c r="D51" s="2" t="s">
        <v>28</v>
      </c>
      <c r="E51" s="2" t="s">
        <v>14</v>
      </c>
      <c r="F51" s="2" t="s">
        <v>29</v>
      </c>
      <c r="G51" s="3" t="n">
        <v>3659</v>
      </c>
      <c r="H51" s="4" t="n">
        <v>71.4</v>
      </c>
      <c r="I51" s="4" t="n">
        <f aca="false">G51*H51</f>
        <v>261252.6</v>
      </c>
    </row>
    <row r="52" customFormat="false" ht="15" hidden="false" customHeight="false" outlineLevel="0" collapsed="false">
      <c r="A52" s="2" t="s">
        <v>9</v>
      </c>
      <c r="B52" s="2" t="n">
        <v>1</v>
      </c>
      <c r="C52" s="2" t="s">
        <v>32</v>
      </c>
      <c r="D52" s="2" t="s">
        <v>28</v>
      </c>
      <c r="E52" s="2" t="s">
        <v>15</v>
      </c>
      <c r="F52" s="2" t="s">
        <v>29</v>
      </c>
      <c r="G52" s="3" t="n">
        <v>4157</v>
      </c>
      <c r="H52" s="4" t="n">
        <v>68</v>
      </c>
      <c r="I52" s="4" t="n">
        <f aca="false">G52*H52</f>
        <v>282676</v>
      </c>
    </row>
    <row r="53" customFormat="false" ht="15" hidden="false" customHeight="false" outlineLevel="0" collapsed="false">
      <c r="A53" s="2" t="s">
        <v>9</v>
      </c>
      <c r="B53" s="2" t="n">
        <v>1</v>
      </c>
      <c r="C53" s="2" t="s">
        <v>32</v>
      </c>
      <c r="D53" s="2" t="s">
        <v>28</v>
      </c>
      <c r="E53" s="2" t="s">
        <v>16</v>
      </c>
      <c r="F53" s="2" t="s">
        <v>29</v>
      </c>
      <c r="G53" s="3" t="n">
        <v>3650</v>
      </c>
      <c r="H53" s="4" t="n">
        <v>53.04</v>
      </c>
      <c r="I53" s="4" t="n">
        <f aca="false">G53*H53</f>
        <v>193596</v>
      </c>
    </row>
    <row r="54" customFormat="false" ht="15" hidden="false" customHeight="false" outlineLevel="0" collapsed="false">
      <c r="A54" s="2" t="s">
        <v>9</v>
      </c>
      <c r="B54" s="2" t="n">
        <v>1</v>
      </c>
      <c r="C54" s="2" t="s">
        <v>33</v>
      </c>
      <c r="D54" s="2" t="s">
        <v>34</v>
      </c>
      <c r="E54" s="2" t="s">
        <v>12</v>
      </c>
      <c r="F54" s="2" t="s">
        <v>35</v>
      </c>
      <c r="G54" s="3" t="n">
        <v>9790</v>
      </c>
      <c r="H54" s="4" t="n">
        <v>31.5</v>
      </c>
      <c r="I54" s="4" t="n">
        <f aca="false">G54*H54</f>
        <v>308385</v>
      </c>
    </row>
    <row r="55" customFormat="false" ht="15" hidden="false" customHeight="false" outlineLevel="0" collapsed="false">
      <c r="A55" s="2" t="s">
        <v>9</v>
      </c>
      <c r="B55" s="2" t="n">
        <v>1</v>
      </c>
      <c r="C55" s="2" t="s">
        <v>33</v>
      </c>
      <c r="D55" s="2" t="s">
        <v>34</v>
      </c>
      <c r="E55" s="2" t="s">
        <v>14</v>
      </c>
      <c r="F55" s="2" t="s">
        <v>35</v>
      </c>
      <c r="G55" s="3" t="n">
        <v>4079</v>
      </c>
      <c r="H55" s="4" t="n">
        <v>36.75</v>
      </c>
      <c r="I55" s="4" t="n">
        <f aca="false">G55*H55</f>
        <v>149903.25</v>
      </c>
    </row>
    <row r="56" customFormat="false" ht="15" hidden="false" customHeight="false" outlineLevel="0" collapsed="false">
      <c r="A56" s="2" t="s">
        <v>9</v>
      </c>
      <c r="B56" s="2" t="n">
        <v>1</v>
      </c>
      <c r="C56" s="2" t="s">
        <v>33</v>
      </c>
      <c r="D56" s="2" t="s">
        <v>34</v>
      </c>
      <c r="E56" s="2" t="s">
        <v>15</v>
      </c>
      <c r="F56" s="2" t="s">
        <v>35</v>
      </c>
      <c r="G56" s="3" t="n">
        <v>5539</v>
      </c>
      <c r="H56" s="4" t="n">
        <v>35</v>
      </c>
      <c r="I56" s="4" t="n">
        <f aca="false">G56*H56</f>
        <v>193865</v>
      </c>
    </row>
    <row r="57" customFormat="false" ht="15" hidden="false" customHeight="false" outlineLevel="0" collapsed="false">
      <c r="A57" s="2" t="s">
        <v>9</v>
      </c>
      <c r="B57" s="2" t="n">
        <v>1</v>
      </c>
      <c r="C57" s="2" t="s">
        <v>33</v>
      </c>
      <c r="D57" s="2" t="s">
        <v>34</v>
      </c>
      <c r="E57" s="2" t="s">
        <v>16</v>
      </c>
      <c r="F57" s="2" t="s">
        <v>35</v>
      </c>
      <c r="G57" s="3" t="n">
        <v>4336</v>
      </c>
      <c r="H57" s="4" t="n">
        <v>27.3</v>
      </c>
      <c r="I57" s="4" t="n">
        <f aca="false">G57*H57</f>
        <v>118372.8</v>
      </c>
    </row>
    <row r="58" customFormat="false" ht="15" hidden="false" customHeight="false" outlineLevel="0" collapsed="false">
      <c r="A58" s="2" t="s">
        <v>9</v>
      </c>
      <c r="B58" s="2" t="n">
        <v>1</v>
      </c>
      <c r="C58" s="2" t="s">
        <v>36</v>
      </c>
      <c r="D58" s="2" t="s">
        <v>34</v>
      </c>
      <c r="E58" s="2" t="s">
        <v>12</v>
      </c>
      <c r="F58" s="2" t="s">
        <v>35</v>
      </c>
      <c r="G58" s="3" t="n">
        <v>7163</v>
      </c>
      <c r="H58" s="4" t="n">
        <v>39.6</v>
      </c>
      <c r="I58" s="4" t="n">
        <f aca="false">G58*H58</f>
        <v>283654.8</v>
      </c>
    </row>
    <row r="59" customFormat="false" ht="15" hidden="false" customHeight="false" outlineLevel="0" collapsed="false">
      <c r="A59" s="2" t="s">
        <v>9</v>
      </c>
      <c r="B59" s="2" t="n">
        <v>1</v>
      </c>
      <c r="C59" s="2" t="s">
        <v>36</v>
      </c>
      <c r="D59" s="2" t="s">
        <v>34</v>
      </c>
      <c r="E59" s="2" t="s">
        <v>14</v>
      </c>
      <c r="F59" s="2" t="s">
        <v>35</v>
      </c>
      <c r="G59" s="3" t="n">
        <v>2843</v>
      </c>
      <c r="H59" s="4" t="n">
        <v>46.2</v>
      </c>
      <c r="I59" s="4" t="n">
        <f aca="false">G59*H59</f>
        <v>131346.6</v>
      </c>
    </row>
    <row r="60" customFormat="false" ht="15" hidden="false" customHeight="false" outlineLevel="0" collapsed="false">
      <c r="A60" s="2" t="s">
        <v>9</v>
      </c>
      <c r="B60" s="2" t="n">
        <v>1</v>
      </c>
      <c r="C60" s="2" t="s">
        <v>36</v>
      </c>
      <c r="D60" s="2" t="s">
        <v>34</v>
      </c>
      <c r="E60" s="2" t="s">
        <v>15</v>
      </c>
      <c r="F60" s="2" t="s">
        <v>35</v>
      </c>
      <c r="G60" s="3" t="n">
        <v>3856</v>
      </c>
      <c r="H60" s="4" t="n">
        <v>44</v>
      </c>
      <c r="I60" s="4" t="n">
        <f aca="false">G60*H60</f>
        <v>169664</v>
      </c>
    </row>
    <row r="61" customFormat="false" ht="15" hidden="false" customHeight="false" outlineLevel="0" collapsed="false">
      <c r="A61" s="2" t="s">
        <v>9</v>
      </c>
      <c r="B61" s="2" t="n">
        <v>1</v>
      </c>
      <c r="C61" s="2" t="s">
        <v>36</v>
      </c>
      <c r="D61" s="2" t="s">
        <v>34</v>
      </c>
      <c r="E61" s="2" t="s">
        <v>16</v>
      </c>
      <c r="F61" s="2" t="s">
        <v>35</v>
      </c>
      <c r="G61" s="3" t="n">
        <v>2805</v>
      </c>
      <c r="H61" s="4" t="n">
        <v>34.32</v>
      </c>
      <c r="I61" s="4" t="n">
        <f aca="false">G61*H61</f>
        <v>96267.6</v>
      </c>
    </row>
    <row r="62" customFormat="false" ht="15" hidden="false" customHeight="false" outlineLevel="0" collapsed="false">
      <c r="A62" s="2" t="s">
        <v>37</v>
      </c>
      <c r="B62" s="2" t="n">
        <v>2</v>
      </c>
      <c r="C62" s="2" t="s">
        <v>10</v>
      </c>
      <c r="D62" s="2" t="s">
        <v>11</v>
      </c>
      <c r="E62" s="2" t="s">
        <v>12</v>
      </c>
      <c r="F62" s="2" t="s">
        <v>13</v>
      </c>
      <c r="G62" s="3" t="n">
        <v>23938</v>
      </c>
      <c r="H62" s="4" t="n">
        <v>37.8</v>
      </c>
      <c r="I62" s="4" t="n">
        <f aca="false">G62*H62</f>
        <v>904856.4</v>
      </c>
    </row>
    <row r="63" customFormat="false" ht="15" hidden="false" customHeight="false" outlineLevel="0" collapsed="false">
      <c r="A63" s="2" t="s">
        <v>37</v>
      </c>
      <c r="B63" s="2" t="n">
        <v>2</v>
      </c>
      <c r="C63" s="2" t="s">
        <v>10</v>
      </c>
      <c r="D63" s="2" t="s">
        <v>11</v>
      </c>
      <c r="E63" s="2" t="s">
        <v>14</v>
      </c>
      <c r="F63" s="2" t="s">
        <v>13</v>
      </c>
      <c r="G63" s="3" t="n">
        <v>10864</v>
      </c>
      <c r="H63" s="4" t="n">
        <v>44.1</v>
      </c>
      <c r="I63" s="4" t="n">
        <f aca="false">G63*H63</f>
        <v>479102.4</v>
      </c>
    </row>
    <row r="64" customFormat="false" ht="15" hidden="false" customHeight="false" outlineLevel="0" collapsed="false">
      <c r="A64" s="2" t="s">
        <v>37</v>
      </c>
      <c r="B64" s="2" t="n">
        <v>2</v>
      </c>
      <c r="C64" s="2" t="s">
        <v>10</v>
      </c>
      <c r="D64" s="2" t="s">
        <v>11</v>
      </c>
      <c r="E64" s="2" t="s">
        <v>15</v>
      </c>
      <c r="F64" s="2" t="s">
        <v>13</v>
      </c>
      <c r="G64" s="3" t="n">
        <v>12947</v>
      </c>
      <c r="H64" s="4" t="n">
        <v>42</v>
      </c>
      <c r="I64" s="4" t="n">
        <f aca="false">G64*H64</f>
        <v>543774</v>
      </c>
    </row>
    <row r="65" customFormat="false" ht="15" hidden="false" customHeight="false" outlineLevel="0" collapsed="false">
      <c r="A65" s="2" t="s">
        <v>37</v>
      </c>
      <c r="B65" s="2" t="n">
        <v>2</v>
      </c>
      <c r="C65" s="2" t="s">
        <v>10</v>
      </c>
      <c r="D65" s="2" t="s">
        <v>11</v>
      </c>
      <c r="E65" s="2" t="s">
        <v>16</v>
      </c>
      <c r="F65" s="2" t="s">
        <v>13</v>
      </c>
      <c r="G65" s="3" t="n">
        <v>10579</v>
      </c>
      <c r="H65" s="4" t="n">
        <v>32.76</v>
      </c>
      <c r="I65" s="4" t="n">
        <f aca="false">G65*H65</f>
        <v>346568.04</v>
      </c>
    </row>
    <row r="66" customFormat="false" ht="15" hidden="false" customHeight="false" outlineLevel="0" collapsed="false">
      <c r="A66" s="2" t="s">
        <v>37</v>
      </c>
      <c r="B66" s="2" t="n">
        <v>2</v>
      </c>
      <c r="C66" s="2" t="s">
        <v>17</v>
      </c>
      <c r="D66" s="2" t="s">
        <v>11</v>
      </c>
      <c r="E66" s="2" t="s">
        <v>12</v>
      </c>
      <c r="F66" s="2" t="s">
        <v>13</v>
      </c>
      <c r="G66" s="3" t="n">
        <v>17268</v>
      </c>
      <c r="H66" s="4" t="n">
        <v>34.2</v>
      </c>
      <c r="I66" s="4" t="n">
        <f aca="false">G66*H66</f>
        <v>590565.6</v>
      </c>
    </row>
    <row r="67" customFormat="false" ht="15" hidden="false" customHeight="false" outlineLevel="0" collapsed="false">
      <c r="A67" s="2" t="s">
        <v>37</v>
      </c>
      <c r="B67" s="2" t="n">
        <v>2</v>
      </c>
      <c r="C67" s="2" t="s">
        <v>17</v>
      </c>
      <c r="D67" s="2" t="s">
        <v>11</v>
      </c>
      <c r="E67" s="2" t="s">
        <v>14</v>
      </c>
      <c r="F67" s="2" t="s">
        <v>13</v>
      </c>
      <c r="G67" s="3" t="n">
        <v>7326</v>
      </c>
      <c r="H67" s="4" t="n">
        <v>39.9</v>
      </c>
      <c r="I67" s="4" t="n">
        <f aca="false">G67*H67</f>
        <v>292307.4</v>
      </c>
    </row>
    <row r="68" customFormat="false" ht="15" hidden="false" customHeight="false" outlineLevel="0" collapsed="false">
      <c r="A68" s="2" t="s">
        <v>37</v>
      </c>
      <c r="B68" s="2" t="n">
        <v>2</v>
      </c>
      <c r="C68" s="2" t="s">
        <v>17</v>
      </c>
      <c r="D68" s="2" t="s">
        <v>11</v>
      </c>
      <c r="E68" s="2" t="s">
        <v>15</v>
      </c>
      <c r="F68" s="2" t="s">
        <v>13</v>
      </c>
      <c r="G68" s="3" t="n">
        <v>8767</v>
      </c>
      <c r="H68" s="4" t="n">
        <v>38</v>
      </c>
      <c r="I68" s="4" t="n">
        <f aca="false">G68*H68</f>
        <v>333146</v>
      </c>
    </row>
    <row r="69" customFormat="false" ht="15" hidden="false" customHeight="false" outlineLevel="0" collapsed="false">
      <c r="A69" s="2" t="s">
        <v>37</v>
      </c>
      <c r="B69" s="2" t="n">
        <v>2</v>
      </c>
      <c r="C69" s="2" t="s">
        <v>17</v>
      </c>
      <c r="D69" s="2" t="s">
        <v>11</v>
      </c>
      <c r="E69" s="2" t="s">
        <v>16</v>
      </c>
      <c r="F69" s="2" t="s">
        <v>13</v>
      </c>
      <c r="G69" s="3" t="n">
        <v>6811</v>
      </c>
      <c r="H69" s="4" t="n">
        <v>29.64</v>
      </c>
      <c r="I69" s="4" t="n">
        <f aca="false">G69*H69</f>
        <v>201878.04</v>
      </c>
    </row>
    <row r="70" customFormat="false" ht="15" hidden="false" customHeight="false" outlineLevel="0" collapsed="false">
      <c r="A70" s="2" t="s">
        <v>37</v>
      </c>
      <c r="B70" s="2" t="n">
        <v>2</v>
      </c>
      <c r="C70" s="2" t="s">
        <v>18</v>
      </c>
      <c r="D70" s="2" t="s">
        <v>11</v>
      </c>
      <c r="E70" s="2" t="s">
        <v>12</v>
      </c>
      <c r="F70" s="2" t="s">
        <v>13</v>
      </c>
      <c r="G70" s="3" t="n">
        <v>8676</v>
      </c>
      <c r="H70" s="4" t="n">
        <v>49.5</v>
      </c>
      <c r="I70" s="4" t="n">
        <f aca="false">G70*H70</f>
        <v>429462</v>
      </c>
    </row>
    <row r="71" customFormat="false" ht="15" hidden="false" customHeight="false" outlineLevel="0" collapsed="false">
      <c r="A71" s="2" t="s">
        <v>37</v>
      </c>
      <c r="B71" s="2" t="n">
        <v>2</v>
      </c>
      <c r="C71" s="2" t="s">
        <v>18</v>
      </c>
      <c r="D71" s="2" t="s">
        <v>11</v>
      </c>
      <c r="E71" s="2" t="s">
        <v>14</v>
      </c>
      <c r="F71" s="2" t="s">
        <v>13</v>
      </c>
      <c r="G71" s="3" t="n">
        <v>4003</v>
      </c>
      <c r="H71" s="4" t="n">
        <v>57.75</v>
      </c>
      <c r="I71" s="4" t="n">
        <f aca="false">G71*H71</f>
        <v>231173.25</v>
      </c>
    </row>
    <row r="72" customFormat="false" ht="15" hidden="false" customHeight="false" outlineLevel="0" collapsed="false">
      <c r="A72" s="2" t="s">
        <v>37</v>
      </c>
      <c r="B72" s="2" t="n">
        <v>2</v>
      </c>
      <c r="C72" s="2" t="s">
        <v>18</v>
      </c>
      <c r="D72" s="2" t="s">
        <v>11</v>
      </c>
      <c r="E72" s="2" t="s">
        <v>15</v>
      </c>
      <c r="F72" s="2" t="s">
        <v>13</v>
      </c>
      <c r="G72" s="3" t="n">
        <v>4738</v>
      </c>
      <c r="H72" s="4" t="n">
        <v>55</v>
      </c>
      <c r="I72" s="4" t="n">
        <f aca="false">G72*H72</f>
        <v>260590</v>
      </c>
    </row>
    <row r="73" customFormat="false" ht="15" hidden="false" customHeight="false" outlineLevel="0" collapsed="false">
      <c r="A73" s="2" t="s">
        <v>37</v>
      </c>
      <c r="B73" s="2" t="n">
        <v>2</v>
      </c>
      <c r="C73" s="2" t="s">
        <v>18</v>
      </c>
      <c r="D73" s="2" t="s">
        <v>11</v>
      </c>
      <c r="E73" s="2" t="s">
        <v>16</v>
      </c>
      <c r="F73" s="2" t="s">
        <v>13</v>
      </c>
      <c r="G73" s="3" t="n">
        <v>3937</v>
      </c>
      <c r="H73" s="4" t="n">
        <v>42.9</v>
      </c>
      <c r="I73" s="4" t="n">
        <f aca="false">G73*H73</f>
        <v>168897.3</v>
      </c>
    </row>
    <row r="74" customFormat="false" ht="15" hidden="false" customHeight="false" outlineLevel="0" collapsed="false">
      <c r="A74" s="2" t="s">
        <v>37</v>
      </c>
      <c r="B74" s="2" t="n">
        <v>2</v>
      </c>
      <c r="C74" s="2" t="s">
        <v>19</v>
      </c>
      <c r="D74" s="2" t="s">
        <v>20</v>
      </c>
      <c r="E74" s="2" t="s">
        <v>12</v>
      </c>
      <c r="F74" s="2" t="s">
        <v>13</v>
      </c>
      <c r="G74" s="3" t="n">
        <v>18055</v>
      </c>
      <c r="H74" s="4" t="n">
        <v>23.4</v>
      </c>
      <c r="I74" s="4" t="n">
        <f aca="false">G74*H74</f>
        <v>422487</v>
      </c>
    </row>
    <row r="75" customFormat="false" ht="15" hidden="false" customHeight="false" outlineLevel="0" collapsed="false">
      <c r="A75" s="2" t="s">
        <v>37</v>
      </c>
      <c r="B75" s="2" t="n">
        <v>2</v>
      </c>
      <c r="C75" s="2" t="s">
        <v>19</v>
      </c>
      <c r="D75" s="2" t="s">
        <v>20</v>
      </c>
      <c r="E75" s="2" t="s">
        <v>14</v>
      </c>
      <c r="F75" s="2" t="s">
        <v>13</v>
      </c>
      <c r="G75" s="3" t="n">
        <v>7860</v>
      </c>
      <c r="H75" s="4" t="n">
        <v>27.3</v>
      </c>
      <c r="I75" s="4" t="n">
        <f aca="false">G75*H75</f>
        <v>214578</v>
      </c>
    </row>
    <row r="76" customFormat="false" ht="15" hidden="false" customHeight="false" outlineLevel="0" collapsed="false">
      <c r="A76" s="2" t="s">
        <v>37</v>
      </c>
      <c r="B76" s="2" t="n">
        <v>2</v>
      </c>
      <c r="C76" s="2" t="s">
        <v>19</v>
      </c>
      <c r="D76" s="2" t="s">
        <v>20</v>
      </c>
      <c r="E76" s="2" t="s">
        <v>15</v>
      </c>
      <c r="F76" s="2" t="s">
        <v>13</v>
      </c>
      <c r="G76" s="3" t="n">
        <v>10610</v>
      </c>
      <c r="H76" s="4" t="n">
        <v>26</v>
      </c>
      <c r="I76" s="4" t="n">
        <f aca="false">G76*H76</f>
        <v>275860</v>
      </c>
    </row>
    <row r="77" customFormat="false" ht="15" hidden="false" customHeight="false" outlineLevel="0" collapsed="false">
      <c r="A77" s="2" t="s">
        <v>37</v>
      </c>
      <c r="B77" s="2" t="n">
        <v>2</v>
      </c>
      <c r="C77" s="2" t="s">
        <v>19</v>
      </c>
      <c r="D77" s="2" t="s">
        <v>20</v>
      </c>
      <c r="E77" s="2" t="s">
        <v>16</v>
      </c>
      <c r="F77" s="2" t="s">
        <v>13</v>
      </c>
      <c r="G77" s="3" t="n">
        <v>8200</v>
      </c>
      <c r="H77" s="4" t="n">
        <v>20.28</v>
      </c>
      <c r="I77" s="4" t="n">
        <f aca="false">G77*H77</f>
        <v>166296</v>
      </c>
    </row>
    <row r="78" customFormat="false" ht="15" hidden="false" customHeight="false" outlineLevel="0" collapsed="false">
      <c r="A78" s="2" t="s">
        <v>37</v>
      </c>
      <c r="B78" s="2" t="n">
        <v>2</v>
      </c>
      <c r="C78" s="2" t="s">
        <v>21</v>
      </c>
      <c r="D78" s="2" t="s">
        <v>20</v>
      </c>
      <c r="E78" s="2" t="s">
        <v>12</v>
      </c>
      <c r="F78" s="2" t="s">
        <v>22</v>
      </c>
      <c r="G78" s="3" t="n">
        <v>21540</v>
      </c>
      <c r="H78" s="4" t="n">
        <v>12.6</v>
      </c>
      <c r="I78" s="4" t="n">
        <f aca="false">G78*H78</f>
        <v>271404</v>
      </c>
    </row>
    <row r="79" customFormat="false" ht="15" hidden="false" customHeight="false" outlineLevel="0" collapsed="false">
      <c r="A79" s="2" t="s">
        <v>37</v>
      </c>
      <c r="B79" s="2" t="n">
        <v>2</v>
      </c>
      <c r="C79" s="2" t="s">
        <v>21</v>
      </c>
      <c r="D79" s="2" t="s">
        <v>20</v>
      </c>
      <c r="E79" s="2" t="s">
        <v>14</v>
      </c>
      <c r="F79" s="2" t="s">
        <v>22</v>
      </c>
      <c r="G79" s="3" t="n">
        <v>9025</v>
      </c>
      <c r="H79" s="4" t="n">
        <v>14.7</v>
      </c>
      <c r="I79" s="4" t="n">
        <f aca="false">G79*H79</f>
        <v>132667.5</v>
      </c>
    </row>
    <row r="80" customFormat="false" ht="15" hidden="false" customHeight="false" outlineLevel="0" collapsed="false">
      <c r="A80" s="2" t="s">
        <v>37</v>
      </c>
      <c r="B80" s="2" t="n">
        <v>2</v>
      </c>
      <c r="C80" s="2" t="s">
        <v>21</v>
      </c>
      <c r="D80" s="2" t="s">
        <v>20</v>
      </c>
      <c r="E80" s="2" t="s">
        <v>15</v>
      </c>
      <c r="F80" s="2" t="s">
        <v>22</v>
      </c>
      <c r="G80" s="3" t="n">
        <v>11500</v>
      </c>
      <c r="H80" s="4" t="n">
        <v>14</v>
      </c>
      <c r="I80" s="4" t="n">
        <f aca="false">G80*H80</f>
        <v>161000</v>
      </c>
    </row>
    <row r="81" customFormat="false" ht="15" hidden="false" customHeight="false" outlineLevel="0" collapsed="false">
      <c r="A81" s="2" t="s">
        <v>37</v>
      </c>
      <c r="B81" s="2" t="n">
        <v>2</v>
      </c>
      <c r="C81" s="2" t="s">
        <v>21</v>
      </c>
      <c r="D81" s="2" t="s">
        <v>20</v>
      </c>
      <c r="E81" s="2" t="s">
        <v>16</v>
      </c>
      <c r="F81" s="2" t="s">
        <v>22</v>
      </c>
      <c r="G81" s="3" t="n">
        <v>9118</v>
      </c>
      <c r="H81" s="4" t="n">
        <v>10.92</v>
      </c>
      <c r="I81" s="4" t="n">
        <f aca="false">G81*H81</f>
        <v>99568.56</v>
      </c>
    </row>
    <row r="82" customFormat="false" ht="15" hidden="false" customHeight="false" outlineLevel="0" collapsed="false">
      <c r="A82" s="2" t="s">
        <v>37</v>
      </c>
      <c r="B82" s="2" t="n">
        <v>2</v>
      </c>
      <c r="C82" s="2" t="s">
        <v>23</v>
      </c>
      <c r="D82" s="2" t="s">
        <v>20</v>
      </c>
      <c r="E82" s="2" t="s">
        <v>12</v>
      </c>
      <c r="F82" s="2" t="s">
        <v>13</v>
      </c>
      <c r="G82" s="3" t="n">
        <v>7205</v>
      </c>
      <c r="H82" s="4" t="n">
        <v>27.9</v>
      </c>
      <c r="I82" s="4" t="n">
        <f aca="false">G82*H82</f>
        <v>201019.5</v>
      </c>
    </row>
    <row r="83" customFormat="false" ht="15" hidden="false" customHeight="false" outlineLevel="0" collapsed="false">
      <c r="A83" s="2" t="s">
        <v>37</v>
      </c>
      <c r="B83" s="2" t="n">
        <v>2</v>
      </c>
      <c r="C83" s="2" t="s">
        <v>23</v>
      </c>
      <c r="D83" s="2" t="s">
        <v>20</v>
      </c>
      <c r="E83" s="2" t="s">
        <v>14</v>
      </c>
      <c r="F83" s="2" t="s">
        <v>13</v>
      </c>
      <c r="G83" s="3" t="n">
        <v>3097</v>
      </c>
      <c r="H83" s="4" t="n">
        <v>32.55</v>
      </c>
      <c r="I83" s="4" t="n">
        <f aca="false">G83*H83</f>
        <v>100807.35</v>
      </c>
    </row>
    <row r="84" customFormat="false" ht="15" hidden="false" customHeight="false" outlineLevel="0" collapsed="false">
      <c r="A84" s="2" t="s">
        <v>37</v>
      </c>
      <c r="B84" s="2" t="n">
        <v>2</v>
      </c>
      <c r="C84" s="2" t="s">
        <v>23</v>
      </c>
      <c r="D84" s="2" t="s">
        <v>20</v>
      </c>
      <c r="E84" s="2" t="s">
        <v>15</v>
      </c>
      <c r="F84" s="2" t="s">
        <v>13</v>
      </c>
      <c r="G84" s="3" t="n">
        <v>3834</v>
      </c>
      <c r="H84" s="4" t="n">
        <v>31</v>
      </c>
      <c r="I84" s="4" t="n">
        <f aca="false">G84*H84</f>
        <v>118854</v>
      </c>
    </row>
    <row r="85" customFormat="false" ht="15" hidden="false" customHeight="false" outlineLevel="0" collapsed="false">
      <c r="A85" s="2" t="s">
        <v>37</v>
      </c>
      <c r="B85" s="2" t="n">
        <v>2</v>
      </c>
      <c r="C85" s="2" t="s">
        <v>23</v>
      </c>
      <c r="D85" s="2" t="s">
        <v>20</v>
      </c>
      <c r="E85" s="2" t="s">
        <v>16</v>
      </c>
      <c r="F85" s="2" t="s">
        <v>13</v>
      </c>
      <c r="G85" s="3" t="n">
        <v>3332</v>
      </c>
      <c r="H85" s="4" t="n">
        <v>24.18</v>
      </c>
      <c r="I85" s="4" t="n">
        <f aca="false">G85*H85</f>
        <v>80567.76</v>
      </c>
    </row>
    <row r="86" customFormat="false" ht="15" hidden="false" customHeight="false" outlineLevel="0" collapsed="false">
      <c r="A86" s="2" t="s">
        <v>37</v>
      </c>
      <c r="B86" s="2" t="n">
        <v>2</v>
      </c>
      <c r="C86" s="2" t="s">
        <v>24</v>
      </c>
      <c r="D86" s="2" t="s">
        <v>20</v>
      </c>
      <c r="E86" s="2" t="s">
        <v>12</v>
      </c>
      <c r="F86" s="2" t="s">
        <v>22</v>
      </c>
      <c r="G86" s="3" t="n">
        <v>25165</v>
      </c>
      <c r="H86" s="4" t="n">
        <v>10.8</v>
      </c>
      <c r="I86" s="4" t="n">
        <f aca="false">G86*H86</f>
        <v>271782</v>
      </c>
    </row>
    <row r="87" customFormat="false" ht="15" hidden="false" customHeight="false" outlineLevel="0" collapsed="false">
      <c r="A87" s="2" t="s">
        <v>37</v>
      </c>
      <c r="B87" s="2" t="n">
        <v>2</v>
      </c>
      <c r="C87" s="2" t="s">
        <v>24</v>
      </c>
      <c r="D87" s="2" t="s">
        <v>20</v>
      </c>
      <c r="E87" s="2" t="s">
        <v>14</v>
      </c>
      <c r="F87" s="2" t="s">
        <v>22</v>
      </c>
      <c r="G87" s="3" t="n">
        <v>11151</v>
      </c>
      <c r="H87" s="4" t="n">
        <v>12.6</v>
      </c>
      <c r="I87" s="4" t="n">
        <f aca="false">G87*H87</f>
        <v>140502.6</v>
      </c>
    </row>
    <row r="88" customFormat="false" ht="15" hidden="false" customHeight="false" outlineLevel="0" collapsed="false">
      <c r="A88" s="2" t="s">
        <v>37</v>
      </c>
      <c r="B88" s="2" t="n">
        <v>2</v>
      </c>
      <c r="C88" s="2" t="s">
        <v>24</v>
      </c>
      <c r="D88" s="2" t="s">
        <v>20</v>
      </c>
      <c r="E88" s="2" t="s">
        <v>15</v>
      </c>
      <c r="F88" s="2" t="s">
        <v>22</v>
      </c>
      <c r="G88" s="3" t="n">
        <v>13526</v>
      </c>
      <c r="H88" s="4" t="n">
        <v>12</v>
      </c>
      <c r="I88" s="4" t="n">
        <f aca="false">G88*H88</f>
        <v>162312</v>
      </c>
    </row>
    <row r="89" customFormat="false" ht="15" hidden="false" customHeight="false" outlineLevel="0" collapsed="false">
      <c r="A89" s="2" t="s">
        <v>37</v>
      </c>
      <c r="B89" s="2" t="n">
        <v>2</v>
      </c>
      <c r="C89" s="2" t="s">
        <v>24</v>
      </c>
      <c r="D89" s="2" t="s">
        <v>20</v>
      </c>
      <c r="E89" s="2" t="s">
        <v>16</v>
      </c>
      <c r="F89" s="2" t="s">
        <v>22</v>
      </c>
      <c r="G89" s="3" t="n">
        <v>11368</v>
      </c>
      <c r="H89" s="4" t="n">
        <v>9.36</v>
      </c>
      <c r="I89" s="4" t="n">
        <f aca="false">G89*H89</f>
        <v>106404.48</v>
      </c>
    </row>
    <row r="90" customFormat="false" ht="15" hidden="false" customHeight="false" outlineLevel="0" collapsed="false">
      <c r="A90" s="2" t="s">
        <v>37</v>
      </c>
      <c r="B90" s="2" t="n">
        <v>2</v>
      </c>
      <c r="C90" s="2" t="s">
        <v>25</v>
      </c>
      <c r="D90" s="2" t="s">
        <v>20</v>
      </c>
      <c r="E90" s="2" t="s">
        <v>12</v>
      </c>
      <c r="F90" s="2" t="s">
        <v>22</v>
      </c>
      <c r="G90" s="3" t="n">
        <v>34552</v>
      </c>
      <c r="H90" s="4" t="n">
        <v>8.1</v>
      </c>
      <c r="I90" s="4" t="n">
        <f aca="false">G90*H90</f>
        <v>279871.2</v>
      </c>
    </row>
    <row r="91" customFormat="false" ht="15" hidden="false" customHeight="false" outlineLevel="0" collapsed="false">
      <c r="A91" s="2" t="s">
        <v>37</v>
      </c>
      <c r="B91" s="2" t="n">
        <v>2</v>
      </c>
      <c r="C91" s="2" t="s">
        <v>25</v>
      </c>
      <c r="D91" s="2" t="s">
        <v>20</v>
      </c>
      <c r="E91" s="2" t="s">
        <v>14</v>
      </c>
      <c r="F91" s="2" t="s">
        <v>22</v>
      </c>
      <c r="G91" s="3" t="n">
        <v>15554</v>
      </c>
      <c r="H91" s="4" t="n">
        <v>9.45</v>
      </c>
      <c r="I91" s="4" t="n">
        <f aca="false">G91*H91</f>
        <v>146985.3</v>
      </c>
    </row>
    <row r="92" customFormat="false" ht="15" hidden="false" customHeight="false" outlineLevel="0" collapsed="false">
      <c r="A92" s="2" t="s">
        <v>37</v>
      </c>
      <c r="B92" s="2" t="n">
        <v>2</v>
      </c>
      <c r="C92" s="2" t="s">
        <v>25</v>
      </c>
      <c r="D92" s="2" t="s">
        <v>20</v>
      </c>
      <c r="E92" s="2" t="s">
        <v>15</v>
      </c>
      <c r="F92" s="2" t="s">
        <v>22</v>
      </c>
      <c r="G92" s="3" t="n">
        <v>18447</v>
      </c>
      <c r="H92" s="4" t="n">
        <v>9</v>
      </c>
      <c r="I92" s="4" t="n">
        <f aca="false">G92*H92</f>
        <v>166023</v>
      </c>
    </row>
    <row r="93" customFormat="false" ht="15" hidden="false" customHeight="false" outlineLevel="0" collapsed="false">
      <c r="A93" s="2" t="s">
        <v>37</v>
      </c>
      <c r="B93" s="2" t="n">
        <v>2</v>
      </c>
      <c r="C93" s="2" t="s">
        <v>25</v>
      </c>
      <c r="D93" s="2" t="s">
        <v>20</v>
      </c>
      <c r="E93" s="2" t="s">
        <v>16</v>
      </c>
      <c r="F93" s="2" t="s">
        <v>22</v>
      </c>
      <c r="G93" s="3" t="n">
        <v>14810</v>
      </c>
      <c r="H93" s="4" t="n">
        <v>7.02</v>
      </c>
      <c r="I93" s="4" t="n">
        <f aca="false">G93*H93</f>
        <v>103966.2</v>
      </c>
    </row>
    <row r="94" customFormat="false" ht="15" hidden="false" customHeight="false" outlineLevel="0" collapsed="false">
      <c r="A94" s="2" t="s">
        <v>37</v>
      </c>
      <c r="B94" s="2" t="n">
        <v>2</v>
      </c>
      <c r="C94" s="2" t="s">
        <v>26</v>
      </c>
      <c r="D94" s="2" t="s">
        <v>20</v>
      </c>
      <c r="E94" s="2" t="s">
        <v>12</v>
      </c>
      <c r="F94" s="2" t="s">
        <v>22</v>
      </c>
      <c r="G94" s="3" t="n">
        <v>21750</v>
      </c>
      <c r="H94" s="4" t="n">
        <v>14.4</v>
      </c>
      <c r="I94" s="4" t="n">
        <f aca="false">G94*H94</f>
        <v>313200</v>
      </c>
    </row>
    <row r="95" customFormat="false" ht="15" hidden="false" customHeight="false" outlineLevel="0" collapsed="false">
      <c r="A95" s="2" t="s">
        <v>37</v>
      </c>
      <c r="B95" s="2" t="n">
        <v>2</v>
      </c>
      <c r="C95" s="2" t="s">
        <v>26</v>
      </c>
      <c r="D95" s="2" t="s">
        <v>20</v>
      </c>
      <c r="E95" s="2" t="s">
        <v>14</v>
      </c>
      <c r="F95" s="2" t="s">
        <v>22</v>
      </c>
      <c r="G95" s="3" t="n">
        <v>8580</v>
      </c>
      <c r="H95" s="4" t="n">
        <v>16.8</v>
      </c>
      <c r="I95" s="4" t="n">
        <f aca="false">G95*H95</f>
        <v>144144</v>
      </c>
    </row>
    <row r="96" customFormat="false" ht="15" hidden="false" customHeight="false" outlineLevel="0" collapsed="false">
      <c r="A96" s="2" t="s">
        <v>37</v>
      </c>
      <c r="B96" s="2" t="n">
        <v>2</v>
      </c>
      <c r="C96" s="2" t="s">
        <v>26</v>
      </c>
      <c r="D96" s="2" t="s">
        <v>20</v>
      </c>
      <c r="E96" s="2" t="s">
        <v>15</v>
      </c>
      <c r="F96" s="2" t="s">
        <v>22</v>
      </c>
      <c r="G96" s="3" t="n">
        <v>10641</v>
      </c>
      <c r="H96" s="4" t="n">
        <v>16</v>
      </c>
      <c r="I96" s="4" t="n">
        <f aca="false">G96*H96</f>
        <v>170256</v>
      </c>
    </row>
    <row r="97" customFormat="false" ht="15" hidden="false" customHeight="false" outlineLevel="0" collapsed="false">
      <c r="A97" s="2" t="s">
        <v>37</v>
      </c>
      <c r="B97" s="2" t="n">
        <v>2</v>
      </c>
      <c r="C97" s="2" t="s">
        <v>26</v>
      </c>
      <c r="D97" s="2" t="s">
        <v>20</v>
      </c>
      <c r="E97" s="2" t="s">
        <v>16</v>
      </c>
      <c r="F97" s="2" t="s">
        <v>22</v>
      </c>
      <c r="G97" s="3" t="n">
        <v>8503</v>
      </c>
      <c r="H97" s="4" t="n">
        <v>12.48</v>
      </c>
      <c r="I97" s="4" t="n">
        <f aca="false">G97*H97</f>
        <v>106117.44</v>
      </c>
    </row>
    <row r="98" customFormat="false" ht="15" hidden="false" customHeight="false" outlineLevel="0" collapsed="false">
      <c r="A98" s="2" t="s">
        <v>37</v>
      </c>
      <c r="B98" s="2" t="n">
        <v>2</v>
      </c>
      <c r="C98" s="2" t="s">
        <v>27</v>
      </c>
      <c r="D98" s="2" t="s">
        <v>28</v>
      </c>
      <c r="E98" s="2" t="s">
        <v>12</v>
      </c>
      <c r="F98" s="2" t="s">
        <v>29</v>
      </c>
      <c r="G98" s="3" t="n">
        <v>13567</v>
      </c>
      <c r="H98" s="4" t="n">
        <v>43.2</v>
      </c>
      <c r="I98" s="4" t="n">
        <f aca="false">G98*H98</f>
        <v>586094.4</v>
      </c>
    </row>
    <row r="99" customFormat="false" ht="15" hidden="false" customHeight="false" outlineLevel="0" collapsed="false">
      <c r="A99" s="2" t="s">
        <v>37</v>
      </c>
      <c r="B99" s="2" t="n">
        <v>2</v>
      </c>
      <c r="C99" s="2" t="s">
        <v>27</v>
      </c>
      <c r="D99" s="2" t="s">
        <v>28</v>
      </c>
      <c r="E99" s="2" t="s">
        <v>14</v>
      </c>
      <c r="F99" s="2" t="s">
        <v>29</v>
      </c>
      <c r="G99" s="3" t="n">
        <v>6075</v>
      </c>
      <c r="H99" s="4" t="n">
        <v>50.4</v>
      </c>
      <c r="I99" s="4" t="n">
        <f aca="false">G99*H99</f>
        <v>306180</v>
      </c>
    </row>
    <row r="100" customFormat="false" ht="15" hidden="false" customHeight="false" outlineLevel="0" collapsed="false">
      <c r="A100" s="2" t="s">
        <v>37</v>
      </c>
      <c r="B100" s="2" t="n">
        <v>2</v>
      </c>
      <c r="C100" s="2" t="s">
        <v>27</v>
      </c>
      <c r="D100" s="2" t="s">
        <v>28</v>
      </c>
      <c r="E100" s="2" t="s">
        <v>15</v>
      </c>
      <c r="F100" s="2" t="s">
        <v>29</v>
      </c>
      <c r="G100" s="3" t="n">
        <v>7479</v>
      </c>
      <c r="H100" s="4" t="n">
        <v>48</v>
      </c>
      <c r="I100" s="4" t="n">
        <f aca="false">G100*H100</f>
        <v>358992</v>
      </c>
    </row>
    <row r="101" customFormat="false" ht="15" hidden="false" customHeight="false" outlineLevel="0" collapsed="false">
      <c r="A101" s="2" t="s">
        <v>37</v>
      </c>
      <c r="B101" s="2" t="n">
        <v>2</v>
      </c>
      <c r="C101" s="2" t="s">
        <v>27</v>
      </c>
      <c r="D101" s="2" t="s">
        <v>28</v>
      </c>
      <c r="E101" s="2" t="s">
        <v>16</v>
      </c>
      <c r="F101" s="2" t="s">
        <v>29</v>
      </c>
      <c r="G101" s="3" t="n">
        <v>5910</v>
      </c>
      <c r="H101" s="4" t="n">
        <v>37.44</v>
      </c>
      <c r="I101" s="4" t="n">
        <f aca="false">G101*H101</f>
        <v>221270.4</v>
      </c>
    </row>
    <row r="102" customFormat="false" ht="15" hidden="false" customHeight="false" outlineLevel="0" collapsed="false">
      <c r="A102" s="2" t="s">
        <v>37</v>
      </c>
      <c r="B102" s="2" t="n">
        <v>2</v>
      </c>
      <c r="C102" s="2" t="s">
        <v>30</v>
      </c>
      <c r="D102" s="2" t="s">
        <v>28</v>
      </c>
      <c r="E102" s="2" t="s">
        <v>12</v>
      </c>
      <c r="F102" s="2" t="s">
        <v>29</v>
      </c>
      <c r="G102" s="3" t="n">
        <v>4617</v>
      </c>
      <c r="H102" s="4" t="n">
        <v>108</v>
      </c>
      <c r="I102" s="4" t="n">
        <f aca="false">G102*H102</f>
        <v>498636</v>
      </c>
    </row>
    <row r="103" customFormat="false" ht="15" hidden="false" customHeight="false" outlineLevel="0" collapsed="false">
      <c r="A103" s="2" t="s">
        <v>37</v>
      </c>
      <c r="B103" s="2" t="n">
        <v>2</v>
      </c>
      <c r="C103" s="2" t="s">
        <v>30</v>
      </c>
      <c r="D103" s="2" t="s">
        <v>28</v>
      </c>
      <c r="E103" s="2" t="s">
        <v>14</v>
      </c>
      <c r="F103" s="2" t="s">
        <v>29</v>
      </c>
      <c r="G103" s="3" t="n">
        <v>1991</v>
      </c>
      <c r="H103" s="4" t="n">
        <v>126</v>
      </c>
      <c r="I103" s="4" t="n">
        <f aca="false">G103*H103</f>
        <v>250866</v>
      </c>
    </row>
    <row r="104" customFormat="false" ht="15" hidden="false" customHeight="false" outlineLevel="0" collapsed="false">
      <c r="A104" s="2" t="s">
        <v>37</v>
      </c>
      <c r="B104" s="2" t="n">
        <v>2</v>
      </c>
      <c r="C104" s="2" t="s">
        <v>30</v>
      </c>
      <c r="D104" s="2" t="s">
        <v>28</v>
      </c>
      <c r="E104" s="2" t="s">
        <v>15</v>
      </c>
      <c r="F104" s="2" t="s">
        <v>29</v>
      </c>
      <c r="G104" s="3" t="n">
        <v>2653</v>
      </c>
      <c r="H104" s="4" t="n">
        <v>120</v>
      </c>
      <c r="I104" s="4" t="n">
        <f aca="false">G104*H104</f>
        <v>318360</v>
      </c>
    </row>
    <row r="105" customFormat="false" ht="15" hidden="false" customHeight="false" outlineLevel="0" collapsed="false">
      <c r="A105" s="2" t="s">
        <v>37</v>
      </c>
      <c r="B105" s="2" t="n">
        <v>2</v>
      </c>
      <c r="C105" s="2" t="s">
        <v>30</v>
      </c>
      <c r="D105" s="2" t="s">
        <v>28</v>
      </c>
      <c r="E105" s="2" t="s">
        <v>16</v>
      </c>
      <c r="F105" s="2" t="s">
        <v>29</v>
      </c>
      <c r="G105" s="3" t="n">
        <v>2047</v>
      </c>
      <c r="H105" s="4" t="n">
        <v>93.6</v>
      </c>
      <c r="I105" s="4" t="n">
        <f aca="false">G105*H105</f>
        <v>191599.2</v>
      </c>
    </row>
    <row r="106" customFormat="false" ht="15" hidden="false" customHeight="false" outlineLevel="0" collapsed="false">
      <c r="A106" s="2" t="s">
        <v>37</v>
      </c>
      <c r="B106" s="2" t="n">
        <v>2</v>
      </c>
      <c r="C106" s="2" t="s">
        <v>31</v>
      </c>
      <c r="D106" s="2" t="s">
        <v>28</v>
      </c>
      <c r="E106" s="2" t="s">
        <v>12</v>
      </c>
      <c r="F106" s="2" t="s">
        <v>29</v>
      </c>
      <c r="G106" s="3" t="n">
        <v>5985</v>
      </c>
      <c r="H106" s="4" t="n">
        <v>85.5</v>
      </c>
      <c r="I106" s="4" t="n">
        <f aca="false">G106*H106</f>
        <v>511717.5</v>
      </c>
    </row>
    <row r="107" customFormat="false" ht="15" hidden="false" customHeight="false" outlineLevel="0" collapsed="false">
      <c r="A107" s="2" t="s">
        <v>37</v>
      </c>
      <c r="B107" s="2" t="n">
        <v>2</v>
      </c>
      <c r="C107" s="2" t="s">
        <v>31</v>
      </c>
      <c r="D107" s="2" t="s">
        <v>28</v>
      </c>
      <c r="E107" s="2" t="s">
        <v>14</v>
      </c>
      <c r="F107" s="2" t="s">
        <v>29</v>
      </c>
      <c r="G107" s="3" t="n">
        <v>2688</v>
      </c>
      <c r="H107" s="4" t="n">
        <v>99.75</v>
      </c>
      <c r="I107" s="4" t="n">
        <f aca="false">G107*H107</f>
        <v>268128</v>
      </c>
    </row>
    <row r="108" customFormat="false" ht="15" hidden="false" customHeight="false" outlineLevel="0" collapsed="false">
      <c r="A108" s="2" t="s">
        <v>37</v>
      </c>
      <c r="B108" s="2" t="n">
        <v>2</v>
      </c>
      <c r="C108" s="2" t="s">
        <v>31</v>
      </c>
      <c r="D108" s="2" t="s">
        <v>28</v>
      </c>
      <c r="E108" s="2" t="s">
        <v>15</v>
      </c>
      <c r="F108" s="2" t="s">
        <v>29</v>
      </c>
      <c r="G108" s="3" t="n">
        <v>3200</v>
      </c>
      <c r="H108" s="4" t="n">
        <v>95</v>
      </c>
      <c r="I108" s="4" t="n">
        <f aca="false">G108*H108</f>
        <v>304000</v>
      </c>
    </row>
    <row r="109" customFormat="false" ht="15" hidden="false" customHeight="false" outlineLevel="0" collapsed="false">
      <c r="A109" s="2" t="s">
        <v>37</v>
      </c>
      <c r="B109" s="2" t="n">
        <v>2</v>
      </c>
      <c r="C109" s="2" t="s">
        <v>31</v>
      </c>
      <c r="D109" s="2" t="s">
        <v>28</v>
      </c>
      <c r="E109" s="2" t="s">
        <v>16</v>
      </c>
      <c r="F109" s="2" t="s">
        <v>29</v>
      </c>
      <c r="G109" s="3" t="n">
        <v>2527</v>
      </c>
      <c r="H109" s="4" t="n">
        <v>74.1</v>
      </c>
      <c r="I109" s="4" t="n">
        <f aca="false">G109*H109</f>
        <v>187250.7</v>
      </c>
    </row>
    <row r="110" customFormat="false" ht="15" hidden="false" customHeight="false" outlineLevel="0" collapsed="false">
      <c r="A110" s="2" t="s">
        <v>37</v>
      </c>
      <c r="B110" s="2" t="n">
        <v>2</v>
      </c>
      <c r="C110" s="2" t="s">
        <v>32</v>
      </c>
      <c r="D110" s="2" t="s">
        <v>28</v>
      </c>
      <c r="E110" s="2" t="s">
        <v>12</v>
      </c>
      <c r="F110" s="2" t="s">
        <v>29</v>
      </c>
      <c r="G110" s="3" t="n">
        <v>8749</v>
      </c>
      <c r="H110" s="4" t="n">
        <v>61.2</v>
      </c>
      <c r="I110" s="4" t="n">
        <f aca="false">G110*H110</f>
        <v>535438.8</v>
      </c>
    </row>
    <row r="111" customFormat="false" ht="15" hidden="false" customHeight="false" outlineLevel="0" collapsed="false">
      <c r="A111" s="2" t="s">
        <v>37</v>
      </c>
      <c r="B111" s="2" t="n">
        <v>2</v>
      </c>
      <c r="C111" s="2" t="s">
        <v>32</v>
      </c>
      <c r="D111" s="2" t="s">
        <v>28</v>
      </c>
      <c r="E111" s="2" t="s">
        <v>14</v>
      </c>
      <c r="F111" s="2" t="s">
        <v>29</v>
      </c>
      <c r="G111" s="3" t="n">
        <v>3449</v>
      </c>
      <c r="H111" s="4" t="n">
        <v>71.4</v>
      </c>
      <c r="I111" s="4" t="n">
        <f aca="false">G111*H111</f>
        <v>246258.6</v>
      </c>
    </row>
    <row r="112" customFormat="false" ht="15" hidden="false" customHeight="false" outlineLevel="0" collapsed="false">
      <c r="A112" s="2" t="s">
        <v>37</v>
      </c>
      <c r="B112" s="2" t="n">
        <v>2</v>
      </c>
      <c r="C112" s="2" t="s">
        <v>32</v>
      </c>
      <c r="D112" s="2" t="s">
        <v>28</v>
      </c>
      <c r="E112" s="2" t="s">
        <v>15</v>
      </c>
      <c r="F112" s="2" t="s">
        <v>29</v>
      </c>
      <c r="G112" s="3" t="n">
        <v>4129</v>
      </c>
      <c r="H112" s="4" t="n">
        <v>68</v>
      </c>
      <c r="I112" s="4" t="n">
        <f aca="false">G112*H112</f>
        <v>280772</v>
      </c>
    </row>
    <row r="113" customFormat="false" ht="15" hidden="false" customHeight="false" outlineLevel="0" collapsed="false">
      <c r="A113" s="2" t="s">
        <v>37</v>
      </c>
      <c r="B113" s="2" t="n">
        <v>2</v>
      </c>
      <c r="C113" s="2" t="s">
        <v>32</v>
      </c>
      <c r="D113" s="2" t="s">
        <v>28</v>
      </c>
      <c r="E113" s="2" t="s">
        <v>16</v>
      </c>
      <c r="F113" s="2" t="s">
        <v>29</v>
      </c>
      <c r="G113" s="3" t="n">
        <v>3672</v>
      </c>
      <c r="H113" s="4" t="n">
        <v>53.04</v>
      </c>
      <c r="I113" s="4" t="n">
        <f aca="false">G113*H113</f>
        <v>194762.88</v>
      </c>
    </row>
    <row r="114" customFormat="false" ht="15" hidden="false" customHeight="false" outlineLevel="0" collapsed="false">
      <c r="A114" s="2" t="s">
        <v>37</v>
      </c>
      <c r="B114" s="2" t="n">
        <v>2</v>
      </c>
      <c r="C114" s="2" t="s">
        <v>33</v>
      </c>
      <c r="D114" s="2" t="s">
        <v>34</v>
      </c>
      <c r="E114" s="2" t="s">
        <v>12</v>
      </c>
      <c r="F114" s="2" t="s">
        <v>35</v>
      </c>
      <c r="G114" s="3" t="n">
        <v>10456</v>
      </c>
      <c r="H114" s="4" t="n">
        <v>31.5</v>
      </c>
      <c r="I114" s="4" t="n">
        <f aca="false">G114*H114</f>
        <v>329364</v>
      </c>
    </row>
    <row r="115" customFormat="false" ht="15" hidden="false" customHeight="false" outlineLevel="0" collapsed="false">
      <c r="A115" s="2" t="s">
        <v>37</v>
      </c>
      <c r="B115" s="2" t="n">
        <v>2</v>
      </c>
      <c r="C115" s="2" t="s">
        <v>33</v>
      </c>
      <c r="D115" s="2" t="s">
        <v>34</v>
      </c>
      <c r="E115" s="2" t="s">
        <v>14</v>
      </c>
      <c r="F115" s="2" t="s">
        <v>35</v>
      </c>
      <c r="G115" s="3" t="n">
        <v>4508</v>
      </c>
      <c r="H115" s="4" t="n">
        <v>36.75</v>
      </c>
      <c r="I115" s="4" t="n">
        <f aca="false">G115*H115</f>
        <v>165669</v>
      </c>
    </row>
    <row r="116" customFormat="false" ht="15" hidden="false" customHeight="false" outlineLevel="0" collapsed="false">
      <c r="A116" s="2" t="s">
        <v>37</v>
      </c>
      <c r="B116" s="2" t="n">
        <v>2</v>
      </c>
      <c r="C116" s="2" t="s">
        <v>33</v>
      </c>
      <c r="D116" s="2" t="s">
        <v>34</v>
      </c>
      <c r="E116" s="2" t="s">
        <v>15</v>
      </c>
      <c r="F116" s="2" t="s">
        <v>35</v>
      </c>
      <c r="G116" s="3" t="n">
        <v>5590</v>
      </c>
      <c r="H116" s="4" t="n">
        <v>35</v>
      </c>
      <c r="I116" s="4" t="n">
        <f aca="false">G116*H116</f>
        <v>195650</v>
      </c>
    </row>
    <row r="117" customFormat="false" ht="15" hidden="false" customHeight="false" outlineLevel="0" collapsed="false">
      <c r="A117" s="2" t="s">
        <v>37</v>
      </c>
      <c r="B117" s="2" t="n">
        <v>2</v>
      </c>
      <c r="C117" s="2" t="s">
        <v>33</v>
      </c>
      <c r="D117" s="2" t="s">
        <v>34</v>
      </c>
      <c r="E117" s="2" t="s">
        <v>16</v>
      </c>
      <c r="F117" s="2" t="s">
        <v>35</v>
      </c>
      <c r="G117" s="3" t="n">
        <v>4538</v>
      </c>
      <c r="H117" s="4" t="n">
        <v>27.3</v>
      </c>
      <c r="I117" s="4" t="n">
        <f aca="false">G117*H117</f>
        <v>123887.4</v>
      </c>
    </row>
    <row r="118" customFormat="false" ht="15" hidden="false" customHeight="false" outlineLevel="0" collapsed="false">
      <c r="A118" s="2" t="s">
        <v>37</v>
      </c>
      <c r="B118" s="2" t="n">
        <v>2</v>
      </c>
      <c r="C118" s="2" t="s">
        <v>36</v>
      </c>
      <c r="D118" s="2" t="s">
        <v>34</v>
      </c>
      <c r="E118" s="2" t="s">
        <v>12</v>
      </c>
      <c r="F118" s="2" t="s">
        <v>35</v>
      </c>
      <c r="G118" s="3" t="n">
        <v>7090</v>
      </c>
      <c r="H118" s="4" t="n">
        <v>39.6</v>
      </c>
      <c r="I118" s="4" t="n">
        <f aca="false">G118*H118</f>
        <v>280764</v>
      </c>
    </row>
    <row r="119" customFormat="false" ht="15" hidden="false" customHeight="false" outlineLevel="0" collapsed="false">
      <c r="A119" s="2" t="s">
        <v>37</v>
      </c>
      <c r="B119" s="2" t="n">
        <v>2</v>
      </c>
      <c r="C119" s="2" t="s">
        <v>36</v>
      </c>
      <c r="D119" s="2" t="s">
        <v>34</v>
      </c>
      <c r="E119" s="2" t="s">
        <v>14</v>
      </c>
      <c r="F119" s="2" t="s">
        <v>35</v>
      </c>
      <c r="G119" s="3" t="n">
        <v>3010</v>
      </c>
      <c r="H119" s="4" t="n">
        <v>46.2</v>
      </c>
      <c r="I119" s="4" t="n">
        <f aca="false">G119*H119</f>
        <v>139062</v>
      </c>
    </row>
    <row r="120" customFormat="false" ht="15" hidden="false" customHeight="false" outlineLevel="0" collapsed="false">
      <c r="A120" s="2" t="s">
        <v>37</v>
      </c>
      <c r="B120" s="2" t="n">
        <v>2</v>
      </c>
      <c r="C120" s="2" t="s">
        <v>36</v>
      </c>
      <c r="D120" s="2" t="s">
        <v>34</v>
      </c>
      <c r="E120" s="2" t="s">
        <v>15</v>
      </c>
      <c r="F120" s="2" t="s">
        <v>35</v>
      </c>
      <c r="G120" s="3" t="n">
        <v>3729</v>
      </c>
      <c r="H120" s="4" t="n">
        <v>44</v>
      </c>
      <c r="I120" s="4" t="n">
        <f aca="false">G120*H120</f>
        <v>164076</v>
      </c>
    </row>
    <row r="121" customFormat="false" ht="15" hidden="false" customHeight="false" outlineLevel="0" collapsed="false">
      <c r="A121" s="2" t="s">
        <v>37</v>
      </c>
      <c r="B121" s="2" t="n">
        <v>2</v>
      </c>
      <c r="C121" s="2" t="s">
        <v>36</v>
      </c>
      <c r="D121" s="2" t="s">
        <v>34</v>
      </c>
      <c r="E121" s="2" t="s">
        <v>16</v>
      </c>
      <c r="F121" s="2" t="s">
        <v>35</v>
      </c>
      <c r="G121" s="3" t="n">
        <v>3163</v>
      </c>
      <c r="H121" s="4" t="n">
        <v>34.32</v>
      </c>
      <c r="I121" s="4" t="n">
        <f aca="false">G121*H121</f>
        <v>108554.16</v>
      </c>
    </row>
    <row r="122" customFormat="false" ht="15" hidden="false" customHeight="false" outlineLevel="0" collapsed="false">
      <c r="A122" s="2" t="s">
        <v>38</v>
      </c>
      <c r="B122" s="2" t="n">
        <v>3</v>
      </c>
      <c r="C122" s="2" t="s">
        <v>10</v>
      </c>
      <c r="D122" s="2" t="s">
        <v>11</v>
      </c>
      <c r="E122" s="2" t="s">
        <v>12</v>
      </c>
      <c r="F122" s="2" t="s">
        <v>13</v>
      </c>
      <c r="G122" s="3" t="n">
        <v>27375</v>
      </c>
      <c r="H122" s="4" t="n">
        <v>37.8</v>
      </c>
      <c r="I122" s="4" t="n">
        <f aca="false">G122*H122</f>
        <v>1034775</v>
      </c>
    </row>
    <row r="123" customFormat="false" ht="15" hidden="false" customHeight="false" outlineLevel="0" collapsed="false">
      <c r="A123" s="2" t="s">
        <v>38</v>
      </c>
      <c r="B123" s="2" t="n">
        <v>3</v>
      </c>
      <c r="C123" s="2" t="s">
        <v>10</v>
      </c>
      <c r="D123" s="2" t="s">
        <v>11</v>
      </c>
      <c r="E123" s="2" t="s">
        <v>14</v>
      </c>
      <c r="F123" s="2" t="s">
        <v>13</v>
      </c>
      <c r="G123" s="3" t="n">
        <v>12075</v>
      </c>
      <c r="H123" s="4" t="n">
        <v>44.1</v>
      </c>
      <c r="I123" s="4" t="n">
        <f aca="false">G123*H123</f>
        <v>532507.5</v>
      </c>
    </row>
    <row r="124" customFormat="false" ht="15" hidden="false" customHeight="false" outlineLevel="0" collapsed="false">
      <c r="A124" s="2" t="s">
        <v>38</v>
      </c>
      <c r="B124" s="2" t="n">
        <v>3</v>
      </c>
      <c r="C124" s="2" t="s">
        <v>10</v>
      </c>
      <c r="D124" s="2" t="s">
        <v>11</v>
      </c>
      <c r="E124" s="2" t="s">
        <v>15</v>
      </c>
      <c r="F124" s="2" t="s">
        <v>13</v>
      </c>
      <c r="G124" s="3" t="n">
        <v>13819</v>
      </c>
      <c r="H124" s="4" t="n">
        <v>42</v>
      </c>
      <c r="I124" s="4" t="n">
        <f aca="false">G124*H124</f>
        <v>580398</v>
      </c>
    </row>
    <row r="125" customFormat="false" ht="15" hidden="false" customHeight="false" outlineLevel="0" collapsed="false">
      <c r="A125" s="2" t="s">
        <v>38</v>
      </c>
      <c r="B125" s="2" t="n">
        <v>3</v>
      </c>
      <c r="C125" s="2" t="s">
        <v>10</v>
      </c>
      <c r="D125" s="2" t="s">
        <v>11</v>
      </c>
      <c r="E125" s="2" t="s">
        <v>16</v>
      </c>
      <c r="F125" s="2" t="s">
        <v>13</v>
      </c>
      <c r="G125" s="3" t="n">
        <v>11212</v>
      </c>
      <c r="H125" s="4" t="n">
        <v>32.76</v>
      </c>
      <c r="I125" s="4" t="n">
        <f aca="false">G125*H125</f>
        <v>367305.12</v>
      </c>
    </row>
    <row r="126" customFormat="false" ht="15" hidden="false" customHeight="false" outlineLevel="0" collapsed="false">
      <c r="A126" s="2" t="s">
        <v>38</v>
      </c>
      <c r="B126" s="2" t="n">
        <v>3</v>
      </c>
      <c r="C126" s="2" t="s">
        <v>17</v>
      </c>
      <c r="D126" s="2" t="s">
        <v>11</v>
      </c>
      <c r="E126" s="2" t="s">
        <v>12</v>
      </c>
      <c r="F126" s="2" t="s">
        <v>13</v>
      </c>
      <c r="G126" s="3" t="n">
        <v>18007</v>
      </c>
      <c r="H126" s="4" t="n">
        <v>34.2</v>
      </c>
      <c r="I126" s="4" t="n">
        <f aca="false">G126*H126</f>
        <v>615839.4</v>
      </c>
    </row>
    <row r="127" customFormat="false" ht="15" hidden="false" customHeight="false" outlineLevel="0" collapsed="false">
      <c r="A127" s="2" t="s">
        <v>38</v>
      </c>
      <c r="B127" s="2" t="n">
        <v>3</v>
      </c>
      <c r="C127" s="2" t="s">
        <v>17</v>
      </c>
      <c r="D127" s="2" t="s">
        <v>11</v>
      </c>
      <c r="E127" s="2" t="s">
        <v>14</v>
      </c>
      <c r="F127" s="2" t="s">
        <v>13</v>
      </c>
      <c r="G127" s="3" t="n">
        <v>7930</v>
      </c>
      <c r="H127" s="4" t="n">
        <v>39.9</v>
      </c>
      <c r="I127" s="4" t="n">
        <f aca="false">G127*H127</f>
        <v>316407</v>
      </c>
    </row>
    <row r="128" customFormat="false" ht="15" hidden="false" customHeight="false" outlineLevel="0" collapsed="false">
      <c r="A128" s="2" t="s">
        <v>38</v>
      </c>
      <c r="B128" s="2" t="n">
        <v>3</v>
      </c>
      <c r="C128" s="2" t="s">
        <v>17</v>
      </c>
      <c r="D128" s="2" t="s">
        <v>11</v>
      </c>
      <c r="E128" s="2" t="s">
        <v>15</v>
      </c>
      <c r="F128" s="2" t="s">
        <v>13</v>
      </c>
      <c r="G128" s="3" t="n">
        <v>9223</v>
      </c>
      <c r="H128" s="4" t="n">
        <v>38</v>
      </c>
      <c r="I128" s="4" t="n">
        <f aca="false">G128*H128</f>
        <v>350474</v>
      </c>
    </row>
    <row r="129" customFormat="false" ht="15" hidden="false" customHeight="false" outlineLevel="0" collapsed="false">
      <c r="A129" s="2" t="s">
        <v>38</v>
      </c>
      <c r="B129" s="2" t="n">
        <v>3</v>
      </c>
      <c r="C129" s="2" t="s">
        <v>17</v>
      </c>
      <c r="D129" s="2" t="s">
        <v>11</v>
      </c>
      <c r="E129" s="2" t="s">
        <v>16</v>
      </c>
      <c r="F129" s="2" t="s">
        <v>13</v>
      </c>
      <c r="G129" s="3" t="n">
        <v>7600</v>
      </c>
      <c r="H129" s="4" t="n">
        <v>29.64</v>
      </c>
      <c r="I129" s="4" t="n">
        <f aca="false">G129*H129</f>
        <v>225264</v>
      </c>
    </row>
    <row r="130" customFormat="false" ht="15" hidden="false" customHeight="false" outlineLevel="0" collapsed="false">
      <c r="A130" s="2" t="s">
        <v>38</v>
      </c>
      <c r="B130" s="2" t="n">
        <v>3</v>
      </c>
      <c r="C130" s="2" t="s">
        <v>18</v>
      </c>
      <c r="D130" s="2" t="s">
        <v>11</v>
      </c>
      <c r="E130" s="2" t="s">
        <v>12</v>
      </c>
      <c r="F130" s="2" t="s">
        <v>13</v>
      </c>
      <c r="G130" s="3" t="n">
        <v>9870</v>
      </c>
      <c r="H130" s="4" t="n">
        <v>49.5</v>
      </c>
      <c r="I130" s="4" t="n">
        <f aca="false">G130*H130</f>
        <v>488565</v>
      </c>
    </row>
    <row r="131" customFormat="false" ht="15" hidden="false" customHeight="false" outlineLevel="0" collapsed="false">
      <c r="A131" s="2" t="s">
        <v>38</v>
      </c>
      <c r="B131" s="2" t="n">
        <v>3</v>
      </c>
      <c r="C131" s="2" t="s">
        <v>18</v>
      </c>
      <c r="D131" s="2" t="s">
        <v>11</v>
      </c>
      <c r="E131" s="2" t="s">
        <v>14</v>
      </c>
      <c r="F131" s="2" t="s">
        <v>13</v>
      </c>
      <c r="G131" s="3" t="n">
        <v>4299</v>
      </c>
      <c r="H131" s="4" t="n">
        <v>57.75</v>
      </c>
      <c r="I131" s="4" t="n">
        <f aca="false">G131*H131</f>
        <v>248267.25</v>
      </c>
    </row>
    <row r="132" customFormat="false" ht="15" hidden="false" customHeight="false" outlineLevel="0" collapsed="false">
      <c r="A132" s="2" t="s">
        <v>38</v>
      </c>
      <c r="B132" s="2" t="n">
        <v>3</v>
      </c>
      <c r="C132" s="2" t="s">
        <v>18</v>
      </c>
      <c r="D132" s="2" t="s">
        <v>11</v>
      </c>
      <c r="E132" s="2" t="s">
        <v>15</v>
      </c>
      <c r="F132" s="2" t="s">
        <v>13</v>
      </c>
      <c r="G132" s="3" t="n">
        <v>5535</v>
      </c>
      <c r="H132" s="4" t="n">
        <v>55</v>
      </c>
      <c r="I132" s="4" t="n">
        <f aca="false">G132*H132</f>
        <v>304425</v>
      </c>
    </row>
    <row r="133" customFormat="false" ht="15" hidden="false" customHeight="false" outlineLevel="0" collapsed="false">
      <c r="A133" s="2" t="s">
        <v>38</v>
      </c>
      <c r="B133" s="2" t="n">
        <v>3</v>
      </c>
      <c r="C133" s="2" t="s">
        <v>18</v>
      </c>
      <c r="D133" s="2" t="s">
        <v>11</v>
      </c>
      <c r="E133" s="2" t="s">
        <v>16</v>
      </c>
      <c r="F133" s="2" t="s">
        <v>13</v>
      </c>
      <c r="G133" s="3" t="n">
        <v>4360</v>
      </c>
      <c r="H133" s="4" t="n">
        <v>42.9</v>
      </c>
      <c r="I133" s="4" t="n">
        <f aca="false">G133*H133</f>
        <v>187044</v>
      </c>
    </row>
    <row r="134" customFormat="false" ht="15" hidden="false" customHeight="false" outlineLevel="0" collapsed="false">
      <c r="A134" s="2" t="s">
        <v>38</v>
      </c>
      <c r="B134" s="2" t="n">
        <v>3</v>
      </c>
      <c r="C134" s="2" t="s">
        <v>19</v>
      </c>
      <c r="D134" s="2" t="s">
        <v>20</v>
      </c>
      <c r="E134" s="2" t="s">
        <v>12</v>
      </c>
      <c r="F134" s="2" t="s">
        <v>13</v>
      </c>
      <c r="G134" s="3" t="n">
        <v>22380</v>
      </c>
      <c r="H134" s="4" t="n">
        <v>23.4</v>
      </c>
      <c r="I134" s="4" t="n">
        <f aca="false">G134*H134</f>
        <v>523692</v>
      </c>
    </row>
    <row r="135" customFormat="false" ht="15" hidden="false" customHeight="false" outlineLevel="0" collapsed="false">
      <c r="A135" s="2" t="s">
        <v>38</v>
      </c>
      <c r="B135" s="2" t="n">
        <v>3</v>
      </c>
      <c r="C135" s="2" t="s">
        <v>19</v>
      </c>
      <c r="D135" s="2" t="s">
        <v>20</v>
      </c>
      <c r="E135" s="2" t="s">
        <v>14</v>
      </c>
      <c r="F135" s="2" t="s">
        <v>13</v>
      </c>
      <c r="G135" s="3" t="n">
        <v>8694</v>
      </c>
      <c r="H135" s="4" t="n">
        <v>27.3</v>
      </c>
      <c r="I135" s="4" t="n">
        <f aca="false">G135*H135</f>
        <v>237346.2</v>
      </c>
    </row>
    <row r="136" customFormat="false" ht="15" hidden="false" customHeight="false" outlineLevel="0" collapsed="false">
      <c r="A136" s="2" t="s">
        <v>38</v>
      </c>
      <c r="B136" s="2" t="n">
        <v>3</v>
      </c>
      <c r="C136" s="2" t="s">
        <v>19</v>
      </c>
      <c r="D136" s="2" t="s">
        <v>20</v>
      </c>
      <c r="E136" s="2" t="s">
        <v>15</v>
      </c>
      <c r="F136" s="2" t="s">
        <v>13</v>
      </c>
      <c r="G136" s="3" t="n">
        <v>11594</v>
      </c>
      <c r="H136" s="4" t="n">
        <v>26</v>
      </c>
      <c r="I136" s="4" t="n">
        <f aca="false">G136*H136</f>
        <v>301444</v>
      </c>
    </row>
    <row r="137" customFormat="false" ht="15" hidden="false" customHeight="false" outlineLevel="0" collapsed="false">
      <c r="A137" s="2" t="s">
        <v>38</v>
      </c>
      <c r="B137" s="2" t="n">
        <v>3</v>
      </c>
      <c r="C137" s="2" t="s">
        <v>19</v>
      </c>
      <c r="D137" s="2" t="s">
        <v>20</v>
      </c>
      <c r="E137" s="2" t="s">
        <v>16</v>
      </c>
      <c r="F137" s="2" t="s">
        <v>13</v>
      </c>
      <c r="G137" s="3" t="n">
        <v>8674</v>
      </c>
      <c r="H137" s="4" t="n">
        <v>20.28</v>
      </c>
      <c r="I137" s="4" t="n">
        <f aca="false">G137*H137</f>
        <v>175908.72</v>
      </c>
    </row>
    <row r="138" customFormat="false" ht="15" hidden="false" customHeight="false" outlineLevel="0" collapsed="false">
      <c r="A138" s="2" t="s">
        <v>38</v>
      </c>
      <c r="B138" s="2" t="n">
        <v>3</v>
      </c>
      <c r="C138" s="2" t="s">
        <v>21</v>
      </c>
      <c r="D138" s="2" t="s">
        <v>20</v>
      </c>
      <c r="E138" s="2" t="s">
        <v>12</v>
      </c>
      <c r="F138" s="2" t="s">
        <v>22</v>
      </c>
      <c r="G138" s="3" t="n">
        <v>25084</v>
      </c>
      <c r="H138" s="4" t="n">
        <v>12.6</v>
      </c>
      <c r="I138" s="4" t="n">
        <f aca="false">G138*H138</f>
        <v>316058.4</v>
      </c>
    </row>
    <row r="139" customFormat="false" ht="15" hidden="false" customHeight="false" outlineLevel="0" collapsed="false">
      <c r="A139" s="2" t="s">
        <v>38</v>
      </c>
      <c r="B139" s="2" t="n">
        <v>3</v>
      </c>
      <c r="C139" s="2" t="s">
        <v>21</v>
      </c>
      <c r="D139" s="2" t="s">
        <v>20</v>
      </c>
      <c r="E139" s="2" t="s">
        <v>14</v>
      </c>
      <c r="F139" s="2" t="s">
        <v>22</v>
      </c>
      <c r="G139" s="3" t="n">
        <v>9974</v>
      </c>
      <c r="H139" s="4" t="n">
        <v>14.7</v>
      </c>
      <c r="I139" s="4" t="n">
        <f aca="false">G139*H139</f>
        <v>146617.8</v>
      </c>
    </row>
    <row r="140" customFormat="false" ht="15" hidden="false" customHeight="false" outlineLevel="0" collapsed="false">
      <c r="A140" s="2" t="s">
        <v>38</v>
      </c>
      <c r="B140" s="2" t="n">
        <v>3</v>
      </c>
      <c r="C140" s="2" t="s">
        <v>21</v>
      </c>
      <c r="D140" s="2" t="s">
        <v>20</v>
      </c>
      <c r="E140" s="2" t="s">
        <v>15</v>
      </c>
      <c r="F140" s="2" t="s">
        <v>22</v>
      </c>
      <c r="G140" s="3" t="n">
        <v>12694</v>
      </c>
      <c r="H140" s="4" t="n">
        <v>14</v>
      </c>
      <c r="I140" s="4" t="n">
        <f aca="false">G140*H140</f>
        <v>177716</v>
      </c>
    </row>
    <row r="141" customFormat="false" ht="15" hidden="false" customHeight="false" outlineLevel="0" collapsed="false">
      <c r="A141" s="2" t="s">
        <v>38</v>
      </c>
      <c r="B141" s="2" t="n">
        <v>3</v>
      </c>
      <c r="C141" s="2" t="s">
        <v>21</v>
      </c>
      <c r="D141" s="2" t="s">
        <v>20</v>
      </c>
      <c r="E141" s="2" t="s">
        <v>16</v>
      </c>
      <c r="F141" s="2" t="s">
        <v>22</v>
      </c>
      <c r="G141" s="3" t="n">
        <v>10015</v>
      </c>
      <c r="H141" s="4" t="n">
        <v>10.92</v>
      </c>
      <c r="I141" s="4" t="n">
        <f aca="false">G141*H141</f>
        <v>109363.8</v>
      </c>
    </row>
    <row r="142" customFormat="false" ht="15" hidden="false" customHeight="false" outlineLevel="0" collapsed="false">
      <c r="A142" s="2" t="s">
        <v>38</v>
      </c>
      <c r="B142" s="2" t="n">
        <v>3</v>
      </c>
      <c r="C142" s="2" t="s">
        <v>23</v>
      </c>
      <c r="D142" s="2" t="s">
        <v>20</v>
      </c>
      <c r="E142" s="2" t="s">
        <v>12</v>
      </c>
      <c r="F142" s="2" t="s">
        <v>13</v>
      </c>
      <c r="G142" s="3" t="n">
        <v>8354</v>
      </c>
      <c r="H142" s="4" t="n">
        <v>27.9</v>
      </c>
      <c r="I142" s="4" t="n">
        <f aca="false">G142*H142</f>
        <v>233076.6</v>
      </c>
    </row>
    <row r="143" customFormat="false" ht="15" hidden="false" customHeight="false" outlineLevel="0" collapsed="false">
      <c r="A143" s="2" t="s">
        <v>38</v>
      </c>
      <c r="B143" s="2" t="n">
        <v>3</v>
      </c>
      <c r="C143" s="2" t="s">
        <v>23</v>
      </c>
      <c r="D143" s="2" t="s">
        <v>20</v>
      </c>
      <c r="E143" s="2" t="s">
        <v>14</v>
      </c>
      <c r="F143" s="2" t="s">
        <v>13</v>
      </c>
      <c r="G143" s="3" t="n">
        <v>3742</v>
      </c>
      <c r="H143" s="4" t="n">
        <v>32.55</v>
      </c>
      <c r="I143" s="4" t="n">
        <f aca="false">G143*H143</f>
        <v>121802.1</v>
      </c>
    </row>
    <row r="144" customFormat="false" ht="15" hidden="false" customHeight="false" outlineLevel="0" collapsed="false">
      <c r="A144" s="2" t="s">
        <v>38</v>
      </c>
      <c r="B144" s="2" t="n">
        <v>3</v>
      </c>
      <c r="C144" s="2" t="s">
        <v>23</v>
      </c>
      <c r="D144" s="2" t="s">
        <v>20</v>
      </c>
      <c r="E144" s="2" t="s">
        <v>15</v>
      </c>
      <c r="F144" s="2" t="s">
        <v>13</v>
      </c>
      <c r="G144" s="3" t="n">
        <v>4212</v>
      </c>
      <c r="H144" s="4" t="n">
        <v>31</v>
      </c>
      <c r="I144" s="4" t="n">
        <f aca="false">G144*H144</f>
        <v>130572</v>
      </c>
    </row>
    <row r="145" customFormat="false" ht="15" hidden="false" customHeight="false" outlineLevel="0" collapsed="false">
      <c r="A145" s="2" t="s">
        <v>38</v>
      </c>
      <c r="B145" s="2" t="n">
        <v>3</v>
      </c>
      <c r="C145" s="2" t="s">
        <v>23</v>
      </c>
      <c r="D145" s="2" t="s">
        <v>20</v>
      </c>
      <c r="E145" s="2" t="s">
        <v>16</v>
      </c>
      <c r="F145" s="2" t="s">
        <v>13</v>
      </c>
      <c r="G145" s="3" t="n">
        <v>3385</v>
      </c>
      <c r="H145" s="4" t="n">
        <v>24.18</v>
      </c>
      <c r="I145" s="4" t="n">
        <f aca="false">G145*H145</f>
        <v>81849.3</v>
      </c>
    </row>
    <row r="146" customFormat="false" ht="15" hidden="false" customHeight="false" outlineLevel="0" collapsed="false">
      <c r="A146" s="2" t="s">
        <v>38</v>
      </c>
      <c r="B146" s="2" t="n">
        <v>3</v>
      </c>
      <c r="C146" s="2" t="s">
        <v>24</v>
      </c>
      <c r="D146" s="2" t="s">
        <v>20</v>
      </c>
      <c r="E146" s="2" t="s">
        <v>12</v>
      </c>
      <c r="F146" s="2" t="s">
        <v>22</v>
      </c>
      <c r="G146" s="3" t="n">
        <v>28016</v>
      </c>
      <c r="H146" s="4" t="n">
        <v>10.8</v>
      </c>
      <c r="I146" s="4" t="n">
        <f aca="false">G146*H146</f>
        <v>302572.8</v>
      </c>
    </row>
    <row r="147" customFormat="false" ht="15" hidden="false" customHeight="false" outlineLevel="0" collapsed="false">
      <c r="A147" s="2" t="s">
        <v>38</v>
      </c>
      <c r="B147" s="2" t="n">
        <v>3</v>
      </c>
      <c r="C147" s="2" t="s">
        <v>24</v>
      </c>
      <c r="D147" s="2" t="s">
        <v>20</v>
      </c>
      <c r="E147" s="2" t="s">
        <v>14</v>
      </c>
      <c r="F147" s="2" t="s">
        <v>22</v>
      </c>
      <c r="G147" s="3" t="n">
        <v>12670</v>
      </c>
      <c r="H147" s="4" t="n">
        <v>12.6</v>
      </c>
      <c r="I147" s="4" t="n">
        <f aca="false">G147*H147</f>
        <v>159642</v>
      </c>
    </row>
    <row r="148" customFormat="false" ht="15" hidden="false" customHeight="false" outlineLevel="0" collapsed="false">
      <c r="A148" s="2" t="s">
        <v>38</v>
      </c>
      <c r="B148" s="2" t="n">
        <v>3</v>
      </c>
      <c r="C148" s="2" t="s">
        <v>24</v>
      </c>
      <c r="D148" s="2" t="s">
        <v>20</v>
      </c>
      <c r="E148" s="2" t="s">
        <v>15</v>
      </c>
      <c r="F148" s="2" t="s">
        <v>22</v>
      </c>
      <c r="G148" s="3" t="n">
        <v>16356</v>
      </c>
      <c r="H148" s="4" t="n">
        <v>12</v>
      </c>
      <c r="I148" s="4" t="n">
        <f aca="false">G148*H148</f>
        <v>196272</v>
      </c>
    </row>
    <row r="149" customFormat="false" ht="15" hidden="false" customHeight="false" outlineLevel="0" collapsed="false">
      <c r="A149" s="2" t="s">
        <v>38</v>
      </c>
      <c r="B149" s="2" t="n">
        <v>3</v>
      </c>
      <c r="C149" s="2" t="s">
        <v>24</v>
      </c>
      <c r="D149" s="2" t="s">
        <v>20</v>
      </c>
      <c r="E149" s="2" t="s">
        <v>16</v>
      </c>
      <c r="F149" s="2" t="s">
        <v>22</v>
      </c>
      <c r="G149" s="3" t="n">
        <v>12760</v>
      </c>
      <c r="H149" s="4" t="n">
        <v>9.36</v>
      </c>
      <c r="I149" s="4" t="n">
        <f aca="false">G149*H149</f>
        <v>119433.6</v>
      </c>
    </row>
    <row r="150" customFormat="false" ht="15" hidden="false" customHeight="false" outlineLevel="0" collapsed="false">
      <c r="A150" s="2" t="s">
        <v>38</v>
      </c>
      <c r="B150" s="2" t="n">
        <v>3</v>
      </c>
      <c r="C150" s="2" t="s">
        <v>25</v>
      </c>
      <c r="D150" s="2" t="s">
        <v>20</v>
      </c>
      <c r="E150" s="2" t="s">
        <v>12</v>
      </c>
      <c r="F150" s="2" t="s">
        <v>22</v>
      </c>
      <c r="G150" s="3" t="n">
        <v>40417</v>
      </c>
      <c r="H150" s="4" t="n">
        <v>8.1</v>
      </c>
      <c r="I150" s="4" t="n">
        <f aca="false">G150*H150</f>
        <v>327377.7</v>
      </c>
    </row>
    <row r="151" customFormat="false" ht="15" hidden="false" customHeight="false" outlineLevel="0" collapsed="false">
      <c r="A151" s="2" t="s">
        <v>38</v>
      </c>
      <c r="B151" s="2" t="n">
        <v>3</v>
      </c>
      <c r="C151" s="2" t="s">
        <v>25</v>
      </c>
      <c r="D151" s="2" t="s">
        <v>20</v>
      </c>
      <c r="E151" s="2" t="s">
        <v>14</v>
      </c>
      <c r="F151" s="2" t="s">
        <v>22</v>
      </c>
      <c r="G151" s="3" t="n">
        <v>15961</v>
      </c>
      <c r="H151" s="4" t="n">
        <v>9.45</v>
      </c>
      <c r="I151" s="4" t="n">
        <f aca="false">G151*H151</f>
        <v>150831.45</v>
      </c>
    </row>
    <row r="152" customFormat="false" ht="15" hidden="false" customHeight="false" outlineLevel="0" collapsed="false">
      <c r="A152" s="2" t="s">
        <v>38</v>
      </c>
      <c r="B152" s="2" t="n">
        <v>3</v>
      </c>
      <c r="C152" s="2" t="s">
        <v>25</v>
      </c>
      <c r="D152" s="2" t="s">
        <v>20</v>
      </c>
      <c r="E152" s="2" t="s">
        <v>15</v>
      </c>
      <c r="F152" s="2" t="s">
        <v>22</v>
      </c>
      <c r="G152" s="3" t="n">
        <v>19475</v>
      </c>
      <c r="H152" s="4" t="n">
        <v>9</v>
      </c>
      <c r="I152" s="4" t="n">
        <f aca="false">G152*H152</f>
        <v>175275</v>
      </c>
    </row>
    <row r="153" customFormat="false" ht="15" hidden="false" customHeight="false" outlineLevel="0" collapsed="false">
      <c r="A153" s="2" t="s">
        <v>38</v>
      </c>
      <c r="B153" s="2" t="n">
        <v>3</v>
      </c>
      <c r="C153" s="2" t="s">
        <v>25</v>
      </c>
      <c r="D153" s="2" t="s">
        <v>20</v>
      </c>
      <c r="E153" s="2" t="s">
        <v>16</v>
      </c>
      <c r="F153" s="2" t="s">
        <v>22</v>
      </c>
      <c r="G153" s="3" t="n">
        <v>15766</v>
      </c>
      <c r="H153" s="4" t="n">
        <v>7.02</v>
      </c>
      <c r="I153" s="4" t="n">
        <f aca="false">G153*H153</f>
        <v>110677.32</v>
      </c>
    </row>
    <row r="154" customFormat="false" ht="15" hidden="false" customHeight="false" outlineLevel="0" collapsed="false">
      <c r="A154" s="2" t="s">
        <v>38</v>
      </c>
      <c r="B154" s="2" t="n">
        <v>3</v>
      </c>
      <c r="C154" s="2" t="s">
        <v>26</v>
      </c>
      <c r="D154" s="2" t="s">
        <v>20</v>
      </c>
      <c r="E154" s="2" t="s">
        <v>12</v>
      </c>
      <c r="F154" s="2" t="s">
        <v>22</v>
      </c>
      <c r="G154" s="3" t="n">
        <v>23916</v>
      </c>
      <c r="H154" s="4" t="n">
        <v>14.4</v>
      </c>
      <c r="I154" s="4" t="n">
        <f aca="false">G154*H154</f>
        <v>344390.4</v>
      </c>
    </row>
    <row r="155" customFormat="false" ht="15" hidden="false" customHeight="false" outlineLevel="0" collapsed="false">
      <c r="A155" s="2" t="s">
        <v>38</v>
      </c>
      <c r="B155" s="2" t="n">
        <v>3</v>
      </c>
      <c r="C155" s="2" t="s">
        <v>26</v>
      </c>
      <c r="D155" s="2" t="s">
        <v>20</v>
      </c>
      <c r="E155" s="2" t="s">
        <v>14</v>
      </c>
      <c r="F155" s="2" t="s">
        <v>22</v>
      </c>
      <c r="G155" s="3" t="n">
        <v>9570</v>
      </c>
      <c r="H155" s="4" t="n">
        <v>16.8</v>
      </c>
      <c r="I155" s="4" t="n">
        <f aca="false">G155*H155</f>
        <v>160776</v>
      </c>
    </row>
    <row r="156" customFormat="false" ht="15" hidden="false" customHeight="false" outlineLevel="0" collapsed="false">
      <c r="A156" s="2" t="s">
        <v>38</v>
      </c>
      <c r="B156" s="2" t="n">
        <v>3</v>
      </c>
      <c r="C156" s="2" t="s">
        <v>26</v>
      </c>
      <c r="D156" s="2" t="s">
        <v>20</v>
      </c>
      <c r="E156" s="2" t="s">
        <v>15</v>
      </c>
      <c r="F156" s="2" t="s">
        <v>22</v>
      </c>
      <c r="G156" s="3" t="n">
        <v>11489</v>
      </c>
      <c r="H156" s="4" t="n">
        <v>16</v>
      </c>
      <c r="I156" s="4" t="n">
        <f aca="false">G156*H156</f>
        <v>183824</v>
      </c>
    </row>
    <row r="157" customFormat="false" ht="15" hidden="false" customHeight="false" outlineLevel="0" collapsed="false">
      <c r="A157" s="2" t="s">
        <v>38</v>
      </c>
      <c r="B157" s="2" t="n">
        <v>3</v>
      </c>
      <c r="C157" s="2" t="s">
        <v>26</v>
      </c>
      <c r="D157" s="2" t="s">
        <v>20</v>
      </c>
      <c r="E157" s="2" t="s">
        <v>16</v>
      </c>
      <c r="F157" s="2" t="s">
        <v>22</v>
      </c>
      <c r="G157" s="3" t="n">
        <v>9576</v>
      </c>
      <c r="H157" s="4" t="n">
        <v>12.48</v>
      </c>
      <c r="I157" s="4" t="n">
        <f aca="false">G157*H157</f>
        <v>119508.48</v>
      </c>
    </row>
    <row r="158" customFormat="false" ht="15" hidden="false" customHeight="false" outlineLevel="0" collapsed="false">
      <c r="A158" s="2" t="s">
        <v>38</v>
      </c>
      <c r="B158" s="2" t="n">
        <v>3</v>
      </c>
      <c r="C158" s="2" t="s">
        <v>27</v>
      </c>
      <c r="D158" s="2" t="s">
        <v>28</v>
      </c>
      <c r="E158" s="2" t="s">
        <v>12</v>
      </c>
      <c r="F158" s="2" t="s">
        <v>29</v>
      </c>
      <c r="G158" s="3" t="n">
        <v>14720</v>
      </c>
      <c r="H158" s="4" t="n">
        <v>43.2</v>
      </c>
      <c r="I158" s="4" t="n">
        <f aca="false">G158*H158</f>
        <v>635904</v>
      </c>
    </row>
    <row r="159" customFormat="false" ht="15" hidden="false" customHeight="false" outlineLevel="0" collapsed="false">
      <c r="A159" s="2" t="s">
        <v>38</v>
      </c>
      <c r="B159" s="2" t="n">
        <v>3</v>
      </c>
      <c r="C159" s="2" t="s">
        <v>27</v>
      </c>
      <c r="D159" s="2" t="s">
        <v>28</v>
      </c>
      <c r="E159" s="2" t="s">
        <v>14</v>
      </c>
      <c r="F159" s="2" t="s">
        <v>29</v>
      </c>
      <c r="G159" s="3" t="n">
        <v>6417</v>
      </c>
      <c r="H159" s="4" t="n">
        <v>50.4</v>
      </c>
      <c r="I159" s="4" t="n">
        <f aca="false">G159*H159</f>
        <v>323416.8</v>
      </c>
    </row>
    <row r="160" customFormat="false" ht="15" hidden="false" customHeight="false" outlineLevel="0" collapsed="false">
      <c r="A160" s="2" t="s">
        <v>38</v>
      </c>
      <c r="B160" s="2" t="n">
        <v>3</v>
      </c>
      <c r="C160" s="2" t="s">
        <v>27</v>
      </c>
      <c r="D160" s="2" t="s">
        <v>28</v>
      </c>
      <c r="E160" s="2" t="s">
        <v>15</v>
      </c>
      <c r="F160" s="2" t="s">
        <v>29</v>
      </c>
      <c r="G160" s="3" t="n">
        <v>8212</v>
      </c>
      <c r="H160" s="4" t="n">
        <v>48</v>
      </c>
      <c r="I160" s="4" t="n">
        <f aca="false">G160*H160</f>
        <v>394176</v>
      </c>
    </row>
    <row r="161" customFormat="false" ht="15" hidden="false" customHeight="false" outlineLevel="0" collapsed="false">
      <c r="A161" s="2" t="s">
        <v>38</v>
      </c>
      <c r="B161" s="2" t="n">
        <v>3</v>
      </c>
      <c r="C161" s="2" t="s">
        <v>27</v>
      </c>
      <c r="D161" s="2" t="s">
        <v>28</v>
      </c>
      <c r="E161" s="2" t="s">
        <v>16</v>
      </c>
      <c r="F161" s="2" t="s">
        <v>29</v>
      </c>
      <c r="G161" s="3" t="n">
        <v>6077</v>
      </c>
      <c r="H161" s="4" t="n">
        <v>37.44</v>
      </c>
      <c r="I161" s="4" t="n">
        <f aca="false">G161*H161</f>
        <v>227522.88</v>
      </c>
    </row>
    <row r="162" customFormat="false" ht="15" hidden="false" customHeight="false" outlineLevel="0" collapsed="false">
      <c r="A162" s="2" t="s">
        <v>38</v>
      </c>
      <c r="B162" s="2" t="n">
        <v>3</v>
      </c>
      <c r="C162" s="2" t="s">
        <v>30</v>
      </c>
      <c r="D162" s="2" t="s">
        <v>28</v>
      </c>
      <c r="E162" s="2" t="s">
        <v>12</v>
      </c>
      <c r="F162" s="2" t="s">
        <v>29</v>
      </c>
      <c r="G162" s="3" t="n">
        <v>5382</v>
      </c>
      <c r="H162" s="4" t="n">
        <v>108</v>
      </c>
      <c r="I162" s="4" t="n">
        <f aca="false">G162*H162</f>
        <v>581256</v>
      </c>
    </row>
    <row r="163" customFormat="false" ht="15" hidden="false" customHeight="false" outlineLevel="0" collapsed="false">
      <c r="A163" s="2" t="s">
        <v>38</v>
      </c>
      <c r="B163" s="2" t="n">
        <v>3</v>
      </c>
      <c r="C163" s="2" t="s">
        <v>30</v>
      </c>
      <c r="D163" s="2" t="s">
        <v>28</v>
      </c>
      <c r="E163" s="2" t="s">
        <v>14</v>
      </c>
      <c r="F163" s="2" t="s">
        <v>29</v>
      </c>
      <c r="G163" s="3" t="n">
        <v>2144</v>
      </c>
      <c r="H163" s="4" t="n">
        <v>126</v>
      </c>
      <c r="I163" s="4" t="n">
        <f aca="false">G163*H163</f>
        <v>270144</v>
      </c>
    </row>
    <row r="164" customFormat="false" ht="15" hidden="false" customHeight="false" outlineLevel="0" collapsed="false">
      <c r="A164" s="2" t="s">
        <v>38</v>
      </c>
      <c r="B164" s="2" t="n">
        <v>3</v>
      </c>
      <c r="C164" s="2" t="s">
        <v>30</v>
      </c>
      <c r="D164" s="2" t="s">
        <v>28</v>
      </c>
      <c r="E164" s="2" t="s">
        <v>15</v>
      </c>
      <c r="F164" s="2" t="s">
        <v>29</v>
      </c>
      <c r="G164" s="3" t="n">
        <v>2682</v>
      </c>
      <c r="H164" s="4" t="n">
        <v>120</v>
      </c>
      <c r="I164" s="4" t="n">
        <f aca="false">G164*H164</f>
        <v>321840</v>
      </c>
    </row>
    <row r="165" customFormat="false" ht="15" hidden="false" customHeight="false" outlineLevel="0" collapsed="false">
      <c r="A165" s="2" t="s">
        <v>38</v>
      </c>
      <c r="B165" s="2" t="n">
        <v>3</v>
      </c>
      <c r="C165" s="2" t="s">
        <v>30</v>
      </c>
      <c r="D165" s="2" t="s">
        <v>28</v>
      </c>
      <c r="E165" s="2" t="s">
        <v>16</v>
      </c>
      <c r="F165" s="2" t="s">
        <v>29</v>
      </c>
      <c r="G165" s="3" t="n">
        <v>2162</v>
      </c>
      <c r="H165" s="4" t="n">
        <v>93.6</v>
      </c>
      <c r="I165" s="4" t="n">
        <f aca="false">G165*H165</f>
        <v>202363.2</v>
      </c>
    </row>
    <row r="166" customFormat="false" ht="15" hidden="false" customHeight="false" outlineLevel="0" collapsed="false">
      <c r="A166" s="2" t="s">
        <v>38</v>
      </c>
      <c r="B166" s="2" t="n">
        <v>3</v>
      </c>
      <c r="C166" s="2" t="s">
        <v>31</v>
      </c>
      <c r="D166" s="2" t="s">
        <v>28</v>
      </c>
      <c r="E166" s="2" t="s">
        <v>12</v>
      </c>
      <c r="F166" s="2" t="s">
        <v>29</v>
      </c>
      <c r="G166" s="3" t="n">
        <v>6838</v>
      </c>
      <c r="H166" s="4" t="n">
        <v>85.5</v>
      </c>
      <c r="I166" s="4" t="n">
        <f aca="false">G166*H166</f>
        <v>584649</v>
      </c>
    </row>
    <row r="167" customFormat="false" ht="15" hidden="false" customHeight="false" outlineLevel="0" collapsed="false">
      <c r="A167" s="2" t="s">
        <v>38</v>
      </c>
      <c r="B167" s="2" t="n">
        <v>3</v>
      </c>
      <c r="C167" s="2" t="s">
        <v>31</v>
      </c>
      <c r="D167" s="2" t="s">
        <v>28</v>
      </c>
      <c r="E167" s="2" t="s">
        <v>14</v>
      </c>
      <c r="F167" s="2" t="s">
        <v>29</v>
      </c>
      <c r="G167" s="3" t="n">
        <v>2752</v>
      </c>
      <c r="H167" s="4" t="n">
        <v>99.75</v>
      </c>
      <c r="I167" s="4" t="n">
        <f aca="false">G167*H167</f>
        <v>274512</v>
      </c>
    </row>
    <row r="168" customFormat="false" ht="15" hidden="false" customHeight="false" outlineLevel="0" collapsed="false">
      <c r="A168" s="2" t="s">
        <v>38</v>
      </c>
      <c r="B168" s="2" t="n">
        <v>3</v>
      </c>
      <c r="C168" s="2" t="s">
        <v>31</v>
      </c>
      <c r="D168" s="2" t="s">
        <v>28</v>
      </c>
      <c r="E168" s="2" t="s">
        <v>15</v>
      </c>
      <c r="F168" s="2" t="s">
        <v>29</v>
      </c>
      <c r="G168" s="3" t="n">
        <v>3341</v>
      </c>
      <c r="H168" s="4" t="n">
        <v>95</v>
      </c>
      <c r="I168" s="4" t="n">
        <f aca="false">G168*H168</f>
        <v>317395</v>
      </c>
    </row>
    <row r="169" customFormat="false" ht="15" hidden="false" customHeight="false" outlineLevel="0" collapsed="false">
      <c r="A169" s="2" t="s">
        <v>38</v>
      </c>
      <c r="B169" s="2" t="n">
        <v>3</v>
      </c>
      <c r="C169" s="2" t="s">
        <v>31</v>
      </c>
      <c r="D169" s="2" t="s">
        <v>28</v>
      </c>
      <c r="E169" s="2" t="s">
        <v>16</v>
      </c>
      <c r="F169" s="2" t="s">
        <v>29</v>
      </c>
      <c r="G169" s="3" t="n">
        <v>2912</v>
      </c>
      <c r="H169" s="4" t="n">
        <v>74.1</v>
      </c>
      <c r="I169" s="4" t="n">
        <f aca="false">G169*H169</f>
        <v>215779.2</v>
      </c>
    </row>
    <row r="170" customFormat="false" ht="15" hidden="false" customHeight="false" outlineLevel="0" collapsed="false">
      <c r="A170" s="2" t="s">
        <v>38</v>
      </c>
      <c r="B170" s="2" t="n">
        <v>3</v>
      </c>
      <c r="C170" s="2" t="s">
        <v>32</v>
      </c>
      <c r="D170" s="2" t="s">
        <v>28</v>
      </c>
      <c r="E170" s="2" t="s">
        <v>12</v>
      </c>
      <c r="F170" s="2" t="s">
        <v>29</v>
      </c>
      <c r="G170" s="3" t="n">
        <v>9424</v>
      </c>
      <c r="H170" s="4" t="n">
        <v>61.2</v>
      </c>
      <c r="I170" s="4" t="n">
        <f aca="false">G170*H170</f>
        <v>576748.8</v>
      </c>
    </row>
    <row r="171" customFormat="false" ht="15" hidden="false" customHeight="false" outlineLevel="0" collapsed="false">
      <c r="A171" s="2" t="s">
        <v>38</v>
      </c>
      <c r="B171" s="2" t="n">
        <v>3</v>
      </c>
      <c r="C171" s="2" t="s">
        <v>32</v>
      </c>
      <c r="D171" s="2" t="s">
        <v>28</v>
      </c>
      <c r="E171" s="2" t="s">
        <v>14</v>
      </c>
      <c r="F171" s="2" t="s">
        <v>29</v>
      </c>
      <c r="G171" s="3" t="n">
        <v>4072</v>
      </c>
      <c r="H171" s="4" t="n">
        <v>71.4</v>
      </c>
      <c r="I171" s="4" t="n">
        <f aca="false">G171*H171</f>
        <v>290740.8</v>
      </c>
    </row>
    <row r="172" customFormat="false" ht="15" hidden="false" customHeight="false" outlineLevel="0" collapsed="false">
      <c r="A172" s="2" t="s">
        <v>38</v>
      </c>
      <c r="B172" s="2" t="n">
        <v>3</v>
      </c>
      <c r="C172" s="2" t="s">
        <v>32</v>
      </c>
      <c r="D172" s="2" t="s">
        <v>28</v>
      </c>
      <c r="E172" s="2" t="s">
        <v>15</v>
      </c>
      <c r="F172" s="2" t="s">
        <v>29</v>
      </c>
      <c r="G172" s="3" t="n">
        <v>5076</v>
      </c>
      <c r="H172" s="4" t="n">
        <v>68</v>
      </c>
      <c r="I172" s="4" t="n">
        <f aca="false">G172*H172</f>
        <v>345168</v>
      </c>
    </row>
    <row r="173" customFormat="false" ht="15" hidden="false" customHeight="false" outlineLevel="0" collapsed="false">
      <c r="A173" s="2" t="s">
        <v>38</v>
      </c>
      <c r="B173" s="2" t="n">
        <v>3</v>
      </c>
      <c r="C173" s="2" t="s">
        <v>32</v>
      </c>
      <c r="D173" s="2" t="s">
        <v>28</v>
      </c>
      <c r="E173" s="2" t="s">
        <v>16</v>
      </c>
      <c r="F173" s="2" t="s">
        <v>29</v>
      </c>
      <c r="G173" s="3" t="n">
        <v>4194</v>
      </c>
      <c r="H173" s="4" t="n">
        <v>53.04</v>
      </c>
      <c r="I173" s="4" t="n">
        <f aca="false">G173*H173</f>
        <v>222449.76</v>
      </c>
    </row>
    <row r="174" customFormat="false" ht="15" hidden="false" customHeight="false" outlineLevel="0" collapsed="false">
      <c r="A174" s="2" t="s">
        <v>38</v>
      </c>
      <c r="B174" s="2" t="n">
        <v>3</v>
      </c>
      <c r="C174" s="2" t="s">
        <v>33</v>
      </c>
      <c r="D174" s="2" t="s">
        <v>34</v>
      </c>
      <c r="E174" s="2" t="s">
        <v>12</v>
      </c>
      <c r="F174" s="2" t="s">
        <v>35</v>
      </c>
      <c r="G174" s="3" t="n">
        <v>11779</v>
      </c>
      <c r="H174" s="4" t="n">
        <v>31.5</v>
      </c>
      <c r="I174" s="4" t="n">
        <f aca="false">G174*H174</f>
        <v>371038.5</v>
      </c>
    </row>
    <row r="175" customFormat="false" ht="15" hidden="false" customHeight="false" outlineLevel="0" collapsed="false">
      <c r="A175" s="2" t="s">
        <v>38</v>
      </c>
      <c r="B175" s="2" t="n">
        <v>3</v>
      </c>
      <c r="C175" s="2" t="s">
        <v>33</v>
      </c>
      <c r="D175" s="2" t="s">
        <v>34</v>
      </c>
      <c r="E175" s="2" t="s">
        <v>14</v>
      </c>
      <c r="F175" s="2" t="s">
        <v>35</v>
      </c>
      <c r="G175" s="3" t="n">
        <v>4675</v>
      </c>
      <c r="H175" s="4" t="n">
        <v>36.75</v>
      </c>
      <c r="I175" s="4" t="n">
        <f aca="false">G175*H175</f>
        <v>171806.25</v>
      </c>
    </row>
    <row r="176" customFormat="false" ht="15" hidden="false" customHeight="false" outlineLevel="0" collapsed="false">
      <c r="A176" s="2" t="s">
        <v>38</v>
      </c>
      <c r="B176" s="2" t="n">
        <v>3</v>
      </c>
      <c r="C176" s="2" t="s">
        <v>33</v>
      </c>
      <c r="D176" s="2" t="s">
        <v>34</v>
      </c>
      <c r="E176" s="2" t="s">
        <v>15</v>
      </c>
      <c r="F176" s="2" t="s">
        <v>35</v>
      </c>
      <c r="G176" s="3" t="n">
        <v>5883</v>
      </c>
      <c r="H176" s="4" t="n">
        <v>35</v>
      </c>
      <c r="I176" s="4" t="n">
        <f aca="false">G176*H176</f>
        <v>205905</v>
      </c>
    </row>
    <row r="177" customFormat="false" ht="15" hidden="false" customHeight="false" outlineLevel="0" collapsed="false">
      <c r="A177" s="2" t="s">
        <v>38</v>
      </c>
      <c r="B177" s="2" t="n">
        <v>3</v>
      </c>
      <c r="C177" s="2" t="s">
        <v>33</v>
      </c>
      <c r="D177" s="2" t="s">
        <v>34</v>
      </c>
      <c r="E177" s="2" t="s">
        <v>16</v>
      </c>
      <c r="F177" s="2" t="s">
        <v>35</v>
      </c>
      <c r="G177" s="3" t="n">
        <v>4627</v>
      </c>
      <c r="H177" s="4" t="n">
        <v>27.3</v>
      </c>
      <c r="I177" s="4" t="n">
        <f aca="false">G177*H177</f>
        <v>126317.1</v>
      </c>
    </row>
    <row r="178" customFormat="false" ht="15" hidden="false" customHeight="false" outlineLevel="0" collapsed="false">
      <c r="A178" s="2" t="s">
        <v>38</v>
      </c>
      <c r="B178" s="2" t="n">
        <v>3</v>
      </c>
      <c r="C178" s="2" t="s">
        <v>36</v>
      </c>
      <c r="D178" s="2" t="s">
        <v>34</v>
      </c>
      <c r="E178" s="2" t="s">
        <v>12</v>
      </c>
      <c r="F178" s="2" t="s">
        <v>35</v>
      </c>
      <c r="G178" s="3" t="n">
        <v>7930</v>
      </c>
      <c r="H178" s="4" t="n">
        <v>39.6</v>
      </c>
      <c r="I178" s="4" t="n">
        <f aca="false">G178*H178</f>
        <v>314028</v>
      </c>
    </row>
    <row r="179" customFormat="false" ht="15" hidden="false" customHeight="false" outlineLevel="0" collapsed="false">
      <c r="A179" s="2" t="s">
        <v>38</v>
      </c>
      <c r="B179" s="2" t="n">
        <v>3</v>
      </c>
      <c r="C179" s="2" t="s">
        <v>36</v>
      </c>
      <c r="D179" s="2" t="s">
        <v>34</v>
      </c>
      <c r="E179" s="2" t="s">
        <v>14</v>
      </c>
      <c r="F179" s="2" t="s">
        <v>35</v>
      </c>
      <c r="G179" s="3" t="n">
        <v>3465</v>
      </c>
      <c r="H179" s="4" t="n">
        <v>46.2</v>
      </c>
      <c r="I179" s="4" t="n">
        <f aca="false">G179*H179</f>
        <v>160083</v>
      </c>
    </row>
    <row r="180" customFormat="false" ht="15" hidden="false" customHeight="false" outlineLevel="0" collapsed="false">
      <c r="A180" s="2" t="s">
        <v>38</v>
      </c>
      <c r="B180" s="2" t="n">
        <v>3</v>
      </c>
      <c r="C180" s="2" t="s">
        <v>36</v>
      </c>
      <c r="D180" s="2" t="s">
        <v>34</v>
      </c>
      <c r="E180" s="2" t="s">
        <v>15</v>
      </c>
      <c r="F180" s="2" t="s">
        <v>35</v>
      </c>
      <c r="G180" s="3" t="n">
        <v>4207</v>
      </c>
      <c r="H180" s="4" t="n">
        <v>44</v>
      </c>
      <c r="I180" s="4" t="n">
        <f aca="false">G180*H180</f>
        <v>185108</v>
      </c>
    </row>
    <row r="181" customFormat="false" ht="15" hidden="false" customHeight="false" outlineLevel="0" collapsed="false">
      <c r="A181" s="2" t="s">
        <v>38</v>
      </c>
      <c r="B181" s="2" t="n">
        <v>3</v>
      </c>
      <c r="C181" s="2" t="s">
        <v>36</v>
      </c>
      <c r="D181" s="2" t="s">
        <v>34</v>
      </c>
      <c r="E181" s="2" t="s">
        <v>16</v>
      </c>
      <c r="F181" s="2" t="s">
        <v>35</v>
      </c>
      <c r="G181" s="3" t="n">
        <v>3533</v>
      </c>
      <c r="H181" s="4" t="n">
        <v>34.32</v>
      </c>
      <c r="I181" s="4" t="n">
        <f aca="false">G181*H181</f>
        <v>121252.56</v>
      </c>
    </row>
    <row r="182" customFormat="false" ht="15" hidden="false" customHeight="false" outlineLevel="0" collapsed="false">
      <c r="A182" s="2" t="s">
        <v>39</v>
      </c>
      <c r="B182" s="2" t="n">
        <v>4</v>
      </c>
      <c r="C182" s="2" t="s">
        <v>10</v>
      </c>
      <c r="D182" s="2" t="s">
        <v>11</v>
      </c>
      <c r="E182" s="2" t="s">
        <v>12</v>
      </c>
      <c r="F182" s="2" t="s">
        <v>13</v>
      </c>
      <c r="G182" s="3" t="n">
        <v>26913</v>
      </c>
      <c r="H182" s="4" t="n">
        <v>37.8</v>
      </c>
      <c r="I182" s="4" t="n">
        <f aca="false">G182*H182</f>
        <v>1017311.4</v>
      </c>
    </row>
    <row r="183" customFormat="false" ht="15" hidden="false" customHeight="false" outlineLevel="0" collapsed="false">
      <c r="A183" s="2" t="s">
        <v>39</v>
      </c>
      <c r="B183" s="2" t="n">
        <v>4</v>
      </c>
      <c r="C183" s="2" t="s">
        <v>10</v>
      </c>
      <c r="D183" s="2" t="s">
        <v>11</v>
      </c>
      <c r="E183" s="2" t="s">
        <v>14</v>
      </c>
      <c r="F183" s="2" t="s">
        <v>13</v>
      </c>
      <c r="G183" s="3" t="n">
        <v>10451</v>
      </c>
      <c r="H183" s="4" t="n">
        <v>44.1</v>
      </c>
      <c r="I183" s="4" t="n">
        <f aca="false">G183*H183</f>
        <v>460889.1</v>
      </c>
    </row>
    <row r="184" customFormat="false" ht="15" hidden="false" customHeight="false" outlineLevel="0" collapsed="false">
      <c r="A184" s="2" t="s">
        <v>39</v>
      </c>
      <c r="B184" s="2" t="n">
        <v>4</v>
      </c>
      <c r="C184" s="2" t="s">
        <v>10</v>
      </c>
      <c r="D184" s="2" t="s">
        <v>11</v>
      </c>
      <c r="E184" s="2" t="s">
        <v>15</v>
      </c>
      <c r="F184" s="2" t="s">
        <v>13</v>
      </c>
      <c r="G184" s="3" t="n">
        <v>13681</v>
      </c>
      <c r="H184" s="4" t="n">
        <v>42</v>
      </c>
      <c r="I184" s="4" t="n">
        <f aca="false">G184*H184</f>
        <v>574602</v>
      </c>
    </row>
    <row r="185" customFormat="false" ht="15" hidden="false" customHeight="false" outlineLevel="0" collapsed="false">
      <c r="A185" s="2" t="s">
        <v>39</v>
      </c>
      <c r="B185" s="2" t="n">
        <v>4</v>
      </c>
      <c r="C185" s="2" t="s">
        <v>10</v>
      </c>
      <c r="D185" s="2" t="s">
        <v>11</v>
      </c>
      <c r="E185" s="2" t="s">
        <v>16</v>
      </c>
      <c r="F185" s="2" t="s">
        <v>13</v>
      </c>
      <c r="G185" s="3" t="n">
        <v>11969</v>
      </c>
      <c r="H185" s="4" t="n">
        <v>32.76</v>
      </c>
      <c r="I185" s="4" t="n">
        <f aca="false">G185*H185</f>
        <v>392104.44</v>
      </c>
    </row>
    <row r="186" customFormat="false" ht="15" hidden="false" customHeight="false" outlineLevel="0" collapsed="false">
      <c r="A186" s="2" t="s">
        <v>39</v>
      </c>
      <c r="B186" s="2" t="n">
        <v>4</v>
      </c>
      <c r="C186" s="2" t="s">
        <v>17</v>
      </c>
      <c r="D186" s="2" t="s">
        <v>11</v>
      </c>
      <c r="E186" s="2" t="s">
        <v>12</v>
      </c>
      <c r="F186" s="2" t="s">
        <v>13</v>
      </c>
      <c r="G186" s="3" t="n">
        <v>16358</v>
      </c>
      <c r="H186" s="4" t="n">
        <v>34.2</v>
      </c>
      <c r="I186" s="4" t="n">
        <f aca="false">G186*H186</f>
        <v>559443.6</v>
      </c>
    </row>
    <row r="187" customFormat="false" ht="15" hidden="false" customHeight="false" outlineLevel="0" collapsed="false">
      <c r="A187" s="2" t="s">
        <v>39</v>
      </c>
      <c r="B187" s="2" t="n">
        <v>4</v>
      </c>
      <c r="C187" s="2" t="s">
        <v>17</v>
      </c>
      <c r="D187" s="2" t="s">
        <v>11</v>
      </c>
      <c r="E187" s="2" t="s">
        <v>14</v>
      </c>
      <c r="F187" s="2" t="s">
        <v>13</v>
      </c>
      <c r="G187" s="3" t="n">
        <v>7399</v>
      </c>
      <c r="H187" s="4" t="n">
        <v>39.9</v>
      </c>
      <c r="I187" s="4" t="n">
        <f aca="false">G187*H187</f>
        <v>295220.1</v>
      </c>
    </row>
    <row r="188" customFormat="false" ht="15" hidden="false" customHeight="false" outlineLevel="0" collapsed="false">
      <c r="A188" s="2" t="s">
        <v>39</v>
      </c>
      <c r="B188" s="2" t="n">
        <v>4</v>
      </c>
      <c r="C188" s="2" t="s">
        <v>17</v>
      </c>
      <c r="D188" s="2" t="s">
        <v>11</v>
      </c>
      <c r="E188" s="2" t="s">
        <v>15</v>
      </c>
      <c r="F188" s="2" t="s">
        <v>13</v>
      </c>
      <c r="G188" s="3" t="n">
        <v>9019</v>
      </c>
      <c r="H188" s="4" t="n">
        <v>38</v>
      </c>
      <c r="I188" s="4" t="n">
        <f aca="false">G188*H188</f>
        <v>342722</v>
      </c>
    </row>
    <row r="189" customFormat="false" ht="15" hidden="false" customHeight="false" outlineLevel="0" collapsed="false">
      <c r="A189" s="2" t="s">
        <v>39</v>
      </c>
      <c r="B189" s="2" t="n">
        <v>4</v>
      </c>
      <c r="C189" s="2" t="s">
        <v>17</v>
      </c>
      <c r="D189" s="2" t="s">
        <v>11</v>
      </c>
      <c r="E189" s="2" t="s">
        <v>16</v>
      </c>
      <c r="F189" s="2" t="s">
        <v>13</v>
      </c>
      <c r="G189" s="3" t="n">
        <v>7991</v>
      </c>
      <c r="H189" s="4" t="n">
        <v>29.64</v>
      </c>
      <c r="I189" s="4" t="n">
        <f aca="false">G189*H189</f>
        <v>236853.24</v>
      </c>
    </row>
    <row r="190" customFormat="false" ht="15" hidden="false" customHeight="false" outlineLevel="0" collapsed="false">
      <c r="A190" s="2" t="s">
        <v>39</v>
      </c>
      <c r="B190" s="2" t="n">
        <v>4</v>
      </c>
      <c r="C190" s="2" t="s">
        <v>18</v>
      </c>
      <c r="D190" s="2" t="s">
        <v>11</v>
      </c>
      <c r="E190" s="2" t="s">
        <v>12</v>
      </c>
      <c r="F190" s="2" t="s">
        <v>13</v>
      </c>
      <c r="G190" s="3" t="n">
        <v>9819</v>
      </c>
      <c r="H190" s="4" t="n">
        <v>49.5</v>
      </c>
      <c r="I190" s="4" t="n">
        <f aca="false">G190*H190</f>
        <v>486040.5</v>
      </c>
    </row>
    <row r="191" customFormat="false" ht="15" hidden="false" customHeight="false" outlineLevel="0" collapsed="false">
      <c r="A191" s="2" t="s">
        <v>39</v>
      </c>
      <c r="B191" s="2" t="n">
        <v>4</v>
      </c>
      <c r="C191" s="2" t="s">
        <v>18</v>
      </c>
      <c r="D191" s="2" t="s">
        <v>11</v>
      </c>
      <c r="E191" s="2" t="s">
        <v>14</v>
      </c>
      <c r="F191" s="2" t="s">
        <v>13</v>
      </c>
      <c r="G191" s="3" t="n">
        <v>4079</v>
      </c>
      <c r="H191" s="4" t="n">
        <v>57.75</v>
      </c>
      <c r="I191" s="4" t="n">
        <f aca="false">G191*H191</f>
        <v>235562.25</v>
      </c>
    </row>
    <row r="192" customFormat="false" ht="15" hidden="false" customHeight="false" outlineLevel="0" collapsed="false">
      <c r="A192" s="2" t="s">
        <v>39</v>
      </c>
      <c r="B192" s="2" t="n">
        <v>4</v>
      </c>
      <c r="C192" s="2" t="s">
        <v>18</v>
      </c>
      <c r="D192" s="2" t="s">
        <v>11</v>
      </c>
      <c r="E192" s="2" t="s">
        <v>15</v>
      </c>
      <c r="F192" s="2" t="s">
        <v>13</v>
      </c>
      <c r="G192" s="3" t="n">
        <v>4970</v>
      </c>
      <c r="H192" s="4" t="n">
        <v>55</v>
      </c>
      <c r="I192" s="4" t="n">
        <f aca="false">G192*H192</f>
        <v>273350</v>
      </c>
    </row>
    <row r="193" customFormat="false" ht="15" hidden="false" customHeight="false" outlineLevel="0" collapsed="false">
      <c r="A193" s="2" t="s">
        <v>39</v>
      </c>
      <c r="B193" s="2" t="n">
        <v>4</v>
      </c>
      <c r="C193" s="2" t="s">
        <v>18</v>
      </c>
      <c r="D193" s="2" t="s">
        <v>11</v>
      </c>
      <c r="E193" s="2" t="s">
        <v>16</v>
      </c>
      <c r="F193" s="2" t="s">
        <v>13</v>
      </c>
      <c r="G193" s="3" t="n">
        <v>4520</v>
      </c>
      <c r="H193" s="4" t="n">
        <v>42.9</v>
      </c>
      <c r="I193" s="4" t="n">
        <f aca="false">G193*H193</f>
        <v>193908</v>
      </c>
    </row>
    <row r="194" customFormat="false" ht="15" hidden="false" customHeight="false" outlineLevel="0" collapsed="false">
      <c r="A194" s="2" t="s">
        <v>39</v>
      </c>
      <c r="B194" s="2" t="n">
        <v>4</v>
      </c>
      <c r="C194" s="2" t="s">
        <v>19</v>
      </c>
      <c r="D194" s="2" t="s">
        <v>20</v>
      </c>
      <c r="E194" s="2" t="s">
        <v>12</v>
      </c>
      <c r="F194" s="2" t="s">
        <v>13</v>
      </c>
      <c r="G194" s="3" t="n">
        <v>20060</v>
      </c>
      <c r="H194" s="4" t="n">
        <v>23.4</v>
      </c>
      <c r="I194" s="4" t="n">
        <f aca="false">G194*H194</f>
        <v>469404</v>
      </c>
    </row>
    <row r="195" customFormat="false" ht="15" hidden="false" customHeight="false" outlineLevel="0" collapsed="false">
      <c r="A195" s="2" t="s">
        <v>39</v>
      </c>
      <c r="B195" s="2" t="n">
        <v>4</v>
      </c>
      <c r="C195" s="2" t="s">
        <v>19</v>
      </c>
      <c r="D195" s="2" t="s">
        <v>20</v>
      </c>
      <c r="E195" s="2" t="s">
        <v>14</v>
      </c>
      <c r="F195" s="2" t="s">
        <v>13</v>
      </c>
      <c r="G195" s="3" t="n">
        <v>8367</v>
      </c>
      <c r="H195" s="4" t="n">
        <v>27.3</v>
      </c>
      <c r="I195" s="4" t="n">
        <f aca="false">G195*H195</f>
        <v>228419.1</v>
      </c>
    </row>
    <row r="196" customFormat="false" ht="15" hidden="false" customHeight="false" outlineLevel="0" collapsed="false">
      <c r="A196" s="2" t="s">
        <v>39</v>
      </c>
      <c r="B196" s="2" t="n">
        <v>4</v>
      </c>
      <c r="C196" s="2" t="s">
        <v>19</v>
      </c>
      <c r="D196" s="2" t="s">
        <v>20</v>
      </c>
      <c r="E196" s="2" t="s">
        <v>15</v>
      </c>
      <c r="F196" s="2" t="s">
        <v>13</v>
      </c>
      <c r="G196" s="3" t="n">
        <v>10042</v>
      </c>
      <c r="H196" s="4" t="n">
        <v>26</v>
      </c>
      <c r="I196" s="4" t="n">
        <f aca="false">G196*H196</f>
        <v>261092</v>
      </c>
    </row>
    <row r="197" customFormat="false" ht="15" hidden="false" customHeight="false" outlineLevel="0" collapsed="false">
      <c r="A197" s="2" t="s">
        <v>39</v>
      </c>
      <c r="B197" s="2" t="n">
        <v>4</v>
      </c>
      <c r="C197" s="2" t="s">
        <v>19</v>
      </c>
      <c r="D197" s="2" t="s">
        <v>20</v>
      </c>
      <c r="E197" s="2" t="s">
        <v>16</v>
      </c>
      <c r="F197" s="2" t="s">
        <v>13</v>
      </c>
      <c r="G197" s="3" t="n">
        <v>8718</v>
      </c>
      <c r="H197" s="4" t="n">
        <v>20.28</v>
      </c>
      <c r="I197" s="4" t="n">
        <f aca="false">G197*H197</f>
        <v>176801.04</v>
      </c>
    </row>
    <row r="198" customFormat="false" ht="15" hidden="false" customHeight="false" outlineLevel="0" collapsed="false">
      <c r="A198" s="2" t="s">
        <v>39</v>
      </c>
      <c r="B198" s="2" t="n">
        <v>4</v>
      </c>
      <c r="C198" s="2" t="s">
        <v>21</v>
      </c>
      <c r="D198" s="2" t="s">
        <v>20</v>
      </c>
      <c r="E198" s="2" t="s">
        <v>12</v>
      </c>
      <c r="F198" s="2" t="s">
        <v>22</v>
      </c>
      <c r="G198" s="3" t="n">
        <v>23936</v>
      </c>
      <c r="H198" s="4" t="n">
        <v>12.6</v>
      </c>
      <c r="I198" s="4" t="n">
        <f aca="false">G198*H198</f>
        <v>301593.6</v>
      </c>
    </row>
    <row r="199" customFormat="false" ht="15" hidden="false" customHeight="false" outlineLevel="0" collapsed="false">
      <c r="A199" s="2" t="s">
        <v>39</v>
      </c>
      <c r="B199" s="2" t="n">
        <v>4</v>
      </c>
      <c r="C199" s="2" t="s">
        <v>21</v>
      </c>
      <c r="D199" s="2" t="s">
        <v>20</v>
      </c>
      <c r="E199" s="2" t="s">
        <v>14</v>
      </c>
      <c r="F199" s="2" t="s">
        <v>22</v>
      </c>
      <c r="G199" s="3" t="n">
        <v>9131</v>
      </c>
      <c r="H199" s="4" t="n">
        <v>14.7</v>
      </c>
      <c r="I199" s="4" t="n">
        <f aca="false">G199*H199</f>
        <v>134225.7</v>
      </c>
    </row>
    <row r="200" customFormat="false" ht="15" hidden="false" customHeight="false" outlineLevel="0" collapsed="false">
      <c r="A200" s="2" t="s">
        <v>39</v>
      </c>
      <c r="B200" s="2" t="n">
        <v>4</v>
      </c>
      <c r="C200" s="2" t="s">
        <v>21</v>
      </c>
      <c r="D200" s="2" t="s">
        <v>20</v>
      </c>
      <c r="E200" s="2" t="s">
        <v>15</v>
      </c>
      <c r="F200" s="2" t="s">
        <v>22</v>
      </c>
      <c r="G200" s="3" t="n">
        <v>11765</v>
      </c>
      <c r="H200" s="4" t="n">
        <v>14</v>
      </c>
      <c r="I200" s="4" t="n">
        <f aca="false">G200*H200</f>
        <v>164710</v>
      </c>
    </row>
    <row r="201" customFormat="false" ht="15" hidden="false" customHeight="false" outlineLevel="0" collapsed="false">
      <c r="A201" s="2" t="s">
        <v>39</v>
      </c>
      <c r="B201" s="2" t="n">
        <v>4</v>
      </c>
      <c r="C201" s="2" t="s">
        <v>21</v>
      </c>
      <c r="D201" s="2" t="s">
        <v>20</v>
      </c>
      <c r="E201" s="2" t="s">
        <v>16</v>
      </c>
      <c r="F201" s="2" t="s">
        <v>22</v>
      </c>
      <c r="G201" s="3" t="n">
        <v>10117</v>
      </c>
      <c r="H201" s="4" t="n">
        <v>10.92</v>
      </c>
      <c r="I201" s="4" t="n">
        <f aca="false">G201*H201</f>
        <v>110477.64</v>
      </c>
    </row>
    <row r="202" customFormat="false" ht="15" hidden="false" customHeight="false" outlineLevel="0" collapsed="false">
      <c r="A202" s="2" t="s">
        <v>39</v>
      </c>
      <c r="B202" s="2" t="n">
        <v>4</v>
      </c>
      <c r="C202" s="2" t="s">
        <v>23</v>
      </c>
      <c r="D202" s="2" t="s">
        <v>20</v>
      </c>
      <c r="E202" s="2" t="s">
        <v>12</v>
      </c>
      <c r="F202" s="2" t="s">
        <v>13</v>
      </c>
      <c r="G202" s="3" t="n">
        <v>7386</v>
      </c>
      <c r="H202" s="4" t="n">
        <v>27.9</v>
      </c>
      <c r="I202" s="4" t="n">
        <f aca="false">G202*H202</f>
        <v>206069.4</v>
      </c>
    </row>
    <row r="203" customFormat="false" ht="15" hidden="false" customHeight="false" outlineLevel="0" collapsed="false">
      <c r="A203" s="2" t="s">
        <v>39</v>
      </c>
      <c r="B203" s="2" t="n">
        <v>4</v>
      </c>
      <c r="C203" s="2" t="s">
        <v>23</v>
      </c>
      <c r="D203" s="2" t="s">
        <v>20</v>
      </c>
      <c r="E203" s="2" t="s">
        <v>14</v>
      </c>
      <c r="F203" s="2" t="s">
        <v>13</v>
      </c>
      <c r="G203" s="3" t="n">
        <v>3479</v>
      </c>
      <c r="H203" s="4" t="n">
        <v>32.55</v>
      </c>
      <c r="I203" s="4" t="n">
        <f aca="false">G203*H203</f>
        <v>113241.45</v>
      </c>
    </row>
    <row r="204" customFormat="false" ht="15" hidden="false" customHeight="false" outlineLevel="0" collapsed="false">
      <c r="A204" s="2" t="s">
        <v>39</v>
      </c>
      <c r="B204" s="2" t="n">
        <v>4</v>
      </c>
      <c r="C204" s="2" t="s">
        <v>23</v>
      </c>
      <c r="D204" s="2" t="s">
        <v>20</v>
      </c>
      <c r="E204" s="2" t="s">
        <v>15</v>
      </c>
      <c r="F204" s="2" t="s">
        <v>13</v>
      </c>
      <c r="G204" s="3" t="n">
        <v>4112</v>
      </c>
      <c r="H204" s="4" t="n">
        <v>31</v>
      </c>
      <c r="I204" s="4" t="n">
        <f aca="false">G204*H204</f>
        <v>127472</v>
      </c>
    </row>
    <row r="205" customFormat="false" ht="15" hidden="false" customHeight="false" outlineLevel="0" collapsed="false">
      <c r="A205" s="2" t="s">
        <v>39</v>
      </c>
      <c r="B205" s="2" t="n">
        <v>4</v>
      </c>
      <c r="C205" s="2" t="s">
        <v>23</v>
      </c>
      <c r="D205" s="2" t="s">
        <v>20</v>
      </c>
      <c r="E205" s="2" t="s">
        <v>16</v>
      </c>
      <c r="F205" s="2" t="s">
        <v>13</v>
      </c>
      <c r="G205" s="3" t="n">
        <v>3690</v>
      </c>
      <c r="H205" s="4" t="n">
        <v>24.18</v>
      </c>
      <c r="I205" s="4" t="n">
        <f aca="false">G205*H205</f>
        <v>89224.2</v>
      </c>
    </row>
    <row r="206" customFormat="false" ht="15" hidden="false" customHeight="false" outlineLevel="0" collapsed="false">
      <c r="A206" s="2" t="s">
        <v>39</v>
      </c>
      <c r="B206" s="2" t="n">
        <v>4</v>
      </c>
      <c r="C206" s="2" t="s">
        <v>24</v>
      </c>
      <c r="D206" s="2" t="s">
        <v>20</v>
      </c>
      <c r="E206" s="2" t="s">
        <v>12</v>
      </c>
      <c r="F206" s="2" t="s">
        <v>22</v>
      </c>
      <c r="G206" s="3" t="n">
        <v>28908</v>
      </c>
      <c r="H206" s="4" t="n">
        <v>10.8</v>
      </c>
      <c r="I206" s="4" t="n">
        <f aca="false">G206*H206</f>
        <v>312206.4</v>
      </c>
    </row>
    <row r="207" customFormat="false" ht="15" hidden="false" customHeight="false" outlineLevel="0" collapsed="false">
      <c r="A207" s="2" t="s">
        <v>39</v>
      </c>
      <c r="B207" s="2" t="n">
        <v>4</v>
      </c>
      <c r="C207" s="2" t="s">
        <v>24</v>
      </c>
      <c r="D207" s="2" t="s">
        <v>20</v>
      </c>
      <c r="E207" s="2" t="s">
        <v>14</v>
      </c>
      <c r="F207" s="2" t="s">
        <v>22</v>
      </c>
      <c r="G207" s="3" t="n">
        <v>12367</v>
      </c>
      <c r="H207" s="4" t="n">
        <v>12.6</v>
      </c>
      <c r="I207" s="4" t="n">
        <f aca="false">G207*H207</f>
        <v>155824.2</v>
      </c>
    </row>
    <row r="208" customFormat="false" ht="15" hidden="false" customHeight="false" outlineLevel="0" collapsed="false">
      <c r="A208" s="2" t="s">
        <v>39</v>
      </c>
      <c r="B208" s="2" t="n">
        <v>4</v>
      </c>
      <c r="C208" s="2" t="s">
        <v>24</v>
      </c>
      <c r="D208" s="2" t="s">
        <v>20</v>
      </c>
      <c r="E208" s="2" t="s">
        <v>15</v>
      </c>
      <c r="F208" s="2" t="s">
        <v>22</v>
      </c>
      <c r="G208" s="3" t="n">
        <v>14228</v>
      </c>
      <c r="H208" s="4" t="n">
        <v>12</v>
      </c>
      <c r="I208" s="4" t="n">
        <f aca="false">G208*H208</f>
        <v>170736</v>
      </c>
    </row>
    <row r="209" customFormat="false" ht="15" hidden="false" customHeight="false" outlineLevel="0" collapsed="false">
      <c r="A209" s="2" t="s">
        <v>39</v>
      </c>
      <c r="B209" s="2" t="n">
        <v>4</v>
      </c>
      <c r="C209" s="2" t="s">
        <v>24</v>
      </c>
      <c r="D209" s="2" t="s">
        <v>20</v>
      </c>
      <c r="E209" s="2" t="s">
        <v>16</v>
      </c>
      <c r="F209" s="2" t="s">
        <v>22</v>
      </c>
      <c r="G209" s="3" t="n">
        <v>12538</v>
      </c>
      <c r="H209" s="4" t="n">
        <v>9.36</v>
      </c>
      <c r="I209" s="4" t="n">
        <f aca="false">G209*H209</f>
        <v>117355.68</v>
      </c>
    </row>
    <row r="210" customFormat="false" ht="15" hidden="false" customHeight="false" outlineLevel="0" collapsed="false">
      <c r="A210" s="2" t="s">
        <v>39</v>
      </c>
      <c r="B210" s="2" t="n">
        <v>4</v>
      </c>
      <c r="C210" s="2" t="s">
        <v>25</v>
      </c>
      <c r="D210" s="2" t="s">
        <v>20</v>
      </c>
      <c r="E210" s="2" t="s">
        <v>12</v>
      </c>
      <c r="F210" s="2" t="s">
        <v>22</v>
      </c>
      <c r="G210" s="3" t="n">
        <v>34156</v>
      </c>
      <c r="H210" s="4" t="n">
        <v>8.1</v>
      </c>
      <c r="I210" s="4" t="n">
        <f aca="false">G210*H210</f>
        <v>276663.6</v>
      </c>
    </row>
    <row r="211" customFormat="false" ht="15" hidden="false" customHeight="false" outlineLevel="0" collapsed="false">
      <c r="A211" s="2" t="s">
        <v>39</v>
      </c>
      <c r="B211" s="2" t="n">
        <v>4</v>
      </c>
      <c r="C211" s="2" t="s">
        <v>25</v>
      </c>
      <c r="D211" s="2" t="s">
        <v>20</v>
      </c>
      <c r="E211" s="2" t="s">
        <v>14</v>
      </c>
      <c r="F211" s="2" t="s">
        <v>22</v>
      </c>
      <c r="G211" s="3" t="n">
        <v>15686</v>
      </c>
      <c r="H211" s="4" t="n">
        <v>9.45</v>
      </c>
      <c r="I211" s="4" t="n">
        <f aca="false">G211*H211</f>
        <v>148232.7</v>
      </c>
    </row>
    <row r="212" customFormat="false" ht="15" hidden="false" customHeight="false" outlineLevel="0" collapsed="false">
      <c r="A212" s="2" t="s">
        <v>39</v>
      </c>
      <c r="B212" s="2" t="n">
        <v>4</v>
      </c>
      <c r="C212" s="2" t="s">
        <v>25</v>
      </c>
      <c r="D212" s="2" t="s">
        <v>20</v>
      </c>
      <c r="E212" s="2" t="s">
        <v>15</v>
      </c>
      <c r="F212" s="2" t="s">
        <v>22</v>
      </c>
      <c r="G212" s="3" t="n">
        <v>18411</v>
      </c>
      <c r="H212" s="4" t="n">
        <v>9</v>
      </c>
      <c r="I212" s="4" t="n">
        <f aca="false">G212*H212</f>
        <v>165699</v>
      </c>
    </row>
    <row r="213" customFormat="false" ht="15" hidden="false" customHeight="false" outlineLevel="0" collapsed="false">
      <c r="A213" s="2" t="s">
        <v>39</v>
      </c>
      <c r="B213" s="2" t="n">
        <v>4</v>
      </c>
      <c r="C213" s="2" t="s">
        <v>25</v>
      </c>
      <c r="D213" s="2" t="s">
        <v>20</v>
      </c>
      <c r="E213" s="2" t="s">
        <v>16</v>
      </c>
      <c r="F213" s="2" t="s">
        <v>22</v>
      </c>
      <c r="G213" s="3" t="n">
        <v>17166</v>
      </c>
      <c r="H213" s="4" t="n">
        <v>7.02</v>
      </c>
      <c r="I213" s="4" t="n">
        <f aca="false">G213*H213</f>
        <v>120505.32</v>
      </c>
    </row>
    <row r="214" customFormat="false" ht="15" hidden="false" customHeight="false" outlineLevel="0" collapsed="false">
      <c r="A214" s="2" t="s">
        <v>39</v>
      </c>
      <c r="B214" s="2" t="n">
        <v>4</v>
      </c>
      <c r="C214" s="2" t="s">
        <v>26</v>
      </c>
      <c r="D214" s="2" t="s">
        <v>20</v>
      </c>
      <c r="E214" s="2" t="s">
        <v>12</v>
      </c>
      <c r="F214" s="2" t="s">
        <v>22</v>
      </c>
      <c r="G214" s="3" t="n">
        <v>20789</v>
      </c>
      <c r="H214" s="4" t="n">
        <v>14.4</v>
      </c>
      <c r="I214" s="4" t="n">
        <f aca="false">G214*H214</f>
        <v>299361.6</v>
      </c>
    </row>
    <row r="215" customFormat="false" ht="15" hidden="false" customHeight="false" outlineLevel="0" collapsed="false">
      <c r="A215" s="2" t="s">
        <v>39</v>
      </c>
      <c r="B215" s="2" t="n">
        <v>4</v>
      </c>
      <c r="C215" s="2" t="s">
        <v>26</v>
      </c>
      <c r="D215" s="2" t="s">
        <v>20</v>
      </c>
      <c r="E215" s="2" t="s">
        <v>14</v>
      </c>
      <c r="F215" s="2" t="s">
        <v>22</v>
      </c>
      <c r="G215" s="3" t="n">
        <v>8796</v>
      </c>
      <c r="H215" s="4" t="n">
        <v>16.8</v>
      </c>
      <c r="I215" s="4" t="n">
        <f aca="false">G215*H215</f>
        <v>147772.8</v>
      </c>
    </row>
    <row r="216" customFormat="false" ht="15" hidden="false" customHeight="false" outlineLevel="0" collapsed="false">
      <c r="A216" s="2" t="s">
        <v>39</v>
      </c>
      <c r="B216" s="2" t="n">
        <v>4</v>
      </c>
      <c r="C216" s="2" t="s">
        <v>26</v>
      </c>
      <c r="D216" s="2" t="s">
        <v>20</v>
      </c>
      <c r="E216" s="2" t="s">
        <v>15</v>
      </c>
      <c r="F216" s="2" t="s">
        <v>22</v>
      </c>
      <c r="G216" s="3" t="n">
        <v>11273</v>
      </c>
      <c r="H216" s="4" t="n">
        <v>16</v>
      </c>
      <c r="I216" s="4" t="n">
        <f aca="false">G216*H216</f>
        <v>180368</v>
      </c>
    </row>
    <row r="217" customFormat="false" ht="15" hidden="false" customHeight="false" outlineLevel="0" collapsed="false">
      <c r="A217" s="2" t="s">
        <v>39</v>
      </c>
      <c r="B217" s="2" t="n">
        <v>4</v>
      </c>
      <c r="C217" s="2" t="s">
        <v>26</v>
      </c>
      <c r="D217" s="2" t="s">
        <v>20</v>
      </c>
      <c r="E217" s="2" t="s">
        <v>16</v>
      </c>
      <c r="F217" s="2" t="s">
        <v>22</v>
      </c>
      <c r="G217" s="3" t="n">
        <v>10330</v>
      </c>
      <c r="H217" s="4" t="n">
        <v>12.48</v>
      </c>
      <c r="I217" s="4" t="n">
        <f aca="false">G217*H217</f>
        <v>128918.4</v>
      </c>
    </row>
    <row r="218" customFormat="false" ht="15" hidden="false" customHeight="false" outlineLevel="0" collapsed="false">
      <c r="A218" s="2" t="s">
        <v>39</v>
      </c>
      <c r="B218" s="2" t="n">
        <v>4</v>
      </c>
      <c r="C218" s="2" t="s">
        <v>27</v>
      </c>
      <c r="D218" s="2" t="s">
        <v>28</v>
      </c>
      <c r="E218" s="2" t="s">
        <v>12</v>
      </c>
      <c r="F218" s="2" t="s">
        <v>29</v>
      </c>
      <c r="G218" s="3" t="n">
        <v>13584</v>
      </c>
      <c r="H218" s="4" t="n">
        <v>43.2</v>
      </c>
      <c r="I218" s="4" t="n">
        <f aca="false">G218*H218</f>
        <v>586828.8</v>
      </c>
    </row>
    <row r="219" customFormat="false" ht="15" hidden="false" customHeight="false" outlineLevel="0" collapsed="false">
      <c r="A219" s="2" t="s">
        <v>39</v>
      </c>
      <c r="B219" s="2" t="n">
        <v>4</v>
      </c>
      <c r="C219" s="2" t="s">
        <v>27</v>
      </c>
      <c r="D219" s="2" t="s">
        <v>28</v>
      </c>
      <c r="E219" s="2" t="s">
        <v>14</v>
      </c>
      <c r="F219" s="2" t="s">
        <v>29</v>
      </c>
      <c r="G219" s="3" t="n">
        <v>5844</v>
      </c>
      <c r="H219" s="4" t="n">
        <v>50.4</v>
      </c>
      <c r="I219" s="4" t="n">
        <f aca="false">G219*H219</f>
        <v>294537.6</v>
      </c>
    </row>
    <row r="220" customFormat="false" ht="15" hidden="false" customHeight="false" outlineLevel="0" collapsed="false">
      <c r="A220" s="2" t="s">
        <v>39</v>
      </c>
      <c r="B220" s="2" t="n">
        <v>4</v>
      </c>
      <c r="C220" s="2" t="s">
        <v>27</v>
      </c>
      <c r="D220" s="2" t="s">
        <v>28</v>
      </c>
      <c r="E220" s="2" t="s">
        <v>15</v>
      </c>
      <c r="F220" s="2" t="s">
        <v>29</v>
      </c>
      <c r="G220" s="3" t="n">
        <v>6936</v>
      </c>
      <c r="H220" s="4" t="n">
        <v>48</v>
      </c>
      <c r="I220" s="4" t="n">
        <f aca="false">G220*H220</f>
        <v>332928</v>
      </c>
    </row>
    <row r="221" customFormat="false" ht="15" hidden="false" customHeight="false" outlineLevel="0" collapsed="false">
      <c r="A221" s="2" t="s">
        <v>39</v>
      </c>
      <c r="B221" s="2" t="n">
        <v>4</v>
      </c>
      <c r="C221" s="2" t="s">
        <v>27</v>
      </c>
      <c r="D221" s="2" t="s">
        <v>28</v>
      </c>
      <c r="E221" s="2" t="s">
        <v>16</v>
      </c>
      <c r="F221" s="2" t="s">
        <v>29</v>
      </c>
      <c r="G221" s="3" t="n">
        <v>6489</v>
      </c>
      <c r="H221" s="4" t="n">
        <v>37.44</v>
      </c>
      <c r="I221" s="4" t="n">
        <f aca="false">G221*H221</f>
        <v>242948.16</v>
      </c>
    </row>
    <row r="222" customFormat="false" ht="15" hidden="false" customHeight="false" outlineLevel="0" collapsed="false">
      <c r="A222" s="2" t="s">
        <v>39</v>
      </c>
      <c r="B222" s="2" t="n">
        <v>4</v>
      </c>
      <c r="C222" s="2" t="s">
        <v>30</v>
      </c>
      <c r="D222" s="2" t="s">
        <v>28</v>
      </c>
      <c r="E222" s="2" t="s">
        <v>12</v>
      </c>
      <c r="F222" s="2" t="s">
        <v>29</v>
      </c>
      <c r="G222" s="3" t="n">
        <v>4877</v>
      </c>
      <c r="H222" s="4" t="n">
        <v>108</v>
      </c>
      <c r="I222" s="4" t="n">
        <f aca="false">G222*H222</f>
        <v>526716</v>
      </c>
    </row>
    <row r="223" customFormat="false" ht="15" hidden="false" customHeight="false" outlineLevel="0" collapsed="false">
      <c r="A223" s="2" t="s">
        <v>39</v>
      </c>
      <c r="B223" s="2" t="n">
        <v>4</v>
      </c>
      <c r="C223" s="2" t="s">
        <v>30</v>
      </c>
      <c r="D223" s="2" t="s">
        <v>28</v>
      </c>
      <c r="E223" s="2" t="s">
        <v>14</v>
      </c>
      <c r="F223" s="2" t="s">
        <v>29</v>
      </c>
      <c r="G223" s="3" t="n">
        <v>2009</v>
      </c>
      <c r="H223" s="4" t="n">
        <v>126</v>
      </c>
      <c r="I223" s="4" t="n">
        <f aca="false">G223*H223</f>
        <v>253134</v>
      </c>
    </row>
    <row r="224" customFormat="false" ht="15" hidden="false" customHeight="false" outlineLevel="0" collapsed="false">
      <c r="A224" s="2" t="s">
        <v>39</v>
      </c>
      <c r="B224" s="2" t="n">
        <v>4</v>
      </c>
      <c r="C224" s="2" t="s">
        <v>30</v>
      </c>
      <c r="D224" s="2" t="s">
        <v>28</v>
      </c>
      <c r="E224" s="2" t="s">
        <v>15</v>
      </c>
      <c r="F224" s="2" t="s">
        <v>29</v>
      </c>
      <c r="G224" s="3" t="n">
        <v>2652</v>
      </c>
      <c r="H224" s="4" t="n">
        <v>120</v>
      </c>
      <c r="I224" s="4" t="n">
        <f aca="false">G224*H224</f>
        <v>318240</v>
      </c>
    </row>
    <row r="225" customFormat="false" ht="15" hidden="false" customHeight="false" outlineLevel="0" collapsed="false">
      <c r="A225" s="2" t="s">
        <v>39</v>
      </c>
      <c r="B225" s="2" t="n">
        <v>4</v>
      </c>
      <c r="C225" s="2" t="s">
        <v>30</v>
      </c>
      <c r="D225" s="2" t="s">
        <v>28</v>
      </c>
      <c r="E225" s="2" t="s">
        <v>16</v>
      </c>
      <c r="F225" s="2" t="s">
        <v>29</v>
      </c>
      <c r="G225" s="3" t="n">
        <v>2174</v>
      </c>
      <c r="H225" s="4" t="n">
        <v>93.6</v>
      </c>
      <c r="I225" s="4" t="n">
        <f aca="false">G225*H225</f>
        <v>203486.4</v>
      </c>
    </row>
    <row r="226" customFormat="false" ht="15" hidden="false" customHeight="false" outlineLevel="0" collapsed="false">
      <c r="A226" s="2" t="s">
        <v>39</v>
      </c>
      <c r="B226" s="2" t="n">
        <v>4</v>
      </c>
      <c r="C226" s="2" t="s">
        <v>31</v>
      </c>
      <c r="D226" s="2" t="s">
        <v>28</v>
      </c>
      <c r="E226" s="2" t="s">
        <v>12</v>
      </c>
      <c r="F226" s="2" t="s">
        <v>29</v>
      </c>
      <c r="G226" s="3" t="n">
        <v>5916</v>
      </c>
      <c r="H226" s="4" t="n">
        <v>85.5</v>
      </c>
      <c r="I226" s="4" t="n">
        <f aca="false">G226*H226</f>
        <v>505818</v>
      </c>
    </row>
    <row r="227" customFormat="false" ht="15" hidden="false" customHeight="false" outlineLevel="0" collapsed="false">
      <c r="A227" s="2" t="s">
        <v>39</v>
      </c>
      <c r="B227" s="2" t="n">
        <v>4</v>
      </c>
      <c r="C227" s="2" t="s">
        <v>31</v>
      </c>
      <c r="D227" s="2" t="s">
        <v>28</v>
      </c>
      <c r="E227" s="2" t="s">
        <v>14</v>
      </c>
      <c r="F227" s="2" t="s">
        <v>29</v>
      </c>
      <c r="G227" s="3" t="n">
        <v>2511</v>
      </c>
      <c r="H227" s="4" t="n">
        <v>99.75</v>
      </c>
      <c r="I227" s="4" t="n">
        <f aca="false">G227*H227</f>
        <v>250472.25</v>
      </c>
    </row>
    <row r="228" customFormat="false" ht="15" hidden="false" customHeight="false" outlineLevel="0" collapsed="false">
      <c r="A228" s="2" t="s">
        <v>39</v>
      </c>
      <c r="B228" s="2" t="n">
        <v>4</v>
      </c>
      <c r="C228" s="2" t="s">
        <v>31</v>
      </c>
      <c r="D228" s="2" t="s">
        <v>28</v>
      </c>
      <c r="E228" s="2" t="s">
        <v>15</v>
      </c>
      <c r="F228" s="2" t="s">
        <v>29</v>
      </c>
      <c r="G228" s="3" t="n">
        <v>3065</v>
      </c>
      <c r="H228" s="4" t="n">
        <v>95</v>
      </c>
      <c r="I228" s="4" t="n">
        <f aca="false">G228*H228</f>
        <v>291175</v>
      </c>
    </row>
    <row r="229" customFormat="false" ht="15" hidden="false" customHeight="false" outlineLevel="0" collapsed="false">
      <c r="A229" s="2" t="s">
        <v>39</v>
      </c>
      <c r="B229" s="2" t="n">
        <v>4</v>
      </c>
      <c r="C229" s="2" t="s">
        <v>31</v>
      </c>
      <c r="D229" s="2" t="s">
        <v>28</v>
      </c>
      <c r="E229" s="2" t="s">
        <v>16</v>
      </c>
      <c r="F229" s="2" t="s">
        <v>29</v>
      </c>
      <c r="G229" s="3" t="n">
        <v>2845</v>
      </c>
      <c r="H229" s="4" t="n">
        <v>74.1</v>
      </c>
      <c r="I229" s="4" t="n">
        <f aca="false">G229*H229</f>
        <v>210814.5</v>
      </c>
    </row>
    <row r="230" customFormat="false" ht="15" hidden="false" customHeight="false" outlineLevel="0" collapsed="false">
      <c r="A230" s="2" t="s">
        <v>39</v>
      </c>
      <c r="B230" s="2" t="n">
        <v>4</v>
      </c>
      <c r="C230" s="2" t="s">
        <v>32</v>
      </c>
      <c r="D230" s="2" t="s">
        <v>28</v>
      </c>
      <c r="E230" s="2" t="s">
        <v>12</v>
      </c>
      <c r="F230" s="2" t="s">
        <v>29</v>
      </c>
      <c r="G230" s="3" t="n">
        <v>8563</v>
      </c>
      <c r="H230" s="4" t="n">
        <v>61.2</v>
      </c>
      <c r="I230" s="4" t="n">
        <f aca="false">G230*H230</f>
        <v>524055.6</v>
      </c>
    </row>
    <row r="231" customFormat="false" ht="15" hidden="false" customHeight="false" outlineLevel="0" collapsed="false">
      <c r="A231" s="2" t="s">
        <v>39</v>
      </c>
      <c r="B231" s="2" t="n">
        <v>4</v>
      </c>
      <c r="C231" s="2" t="s">
        <v>32</v>
      </c>
      <c r="D231" s="2" t="s">
        <v>28</v>
      </c>
      <c r="E231" s="2" t="s">
        <v>14</v>
      </c>
      <c r="F231" s="2" t="s">
        <v>29</v>
      </c>
      <c r="G231" s="3" t="n">
        <v>3690</v>
      </c>
      <c r="H231" s="4" t="n">
        <v>71.4</v>
      </c>
      <c r="I231" s="4" t="n">
        <f aca="false">G231*H231</f>
        <v>263466</v>
      </c>
    </row>
    <row r="232" customFormat="false" ht="15" hidden="false" customHeight="false" outlineLevel="0" collapsed="false">
      <c r="A232" s="2" t="s">
        <v>39</v>
      </c>
      <c r="B232" s="2" t="n">
        <v>4</v>
      </c>
      <c r="C232" s="2" t="s">
        <v>32</v>
      </c>
      <c r="D232" s="2" t="s">
        <v>28</v>
      </c>
      <c r="E232" s="2" t="s">
        <v>15</v>
      </c>
      <c r="F232" s="2" t="s">
        <v>29</v>
      </c>
      <c r="G232" s="3" t="n">
        <v>4270</v>
      </c>
      <c r="H232" s="4" t="n">
        <v>68</v>
      </c>
      <c r="I232" s="4" t="n">
        <f aca="false">G232*H232</f>
        <v>290360</v>
      </c>
    </row>
    <row r="233" customFormat="false" ht="15" hidden="false" customHeight="false" outlineLevel="0" collapsed="false">
      <c r="A233" s="2" t="s">
        <v>39</v>
      </c>
      <c r="B233" s="2" t="n">
        <v>4</v>
      </c>
      <c r="C233" s="2" t="s">
        <v>32</v>
      </c>
      <c r="D233" s="2" t="s">
        <v>28</v>
      </c>
      <c r="E233" s="2" t="s">
        <v>16</v>
      </c>
      <c r="F233" s="2" t="s">
        <v>29</v>
      </c>
      <c r="G233" s="3" t="n">
        <v>4127</v>
      </c>
      <c r="H233" s="4" t="n">
        <v>53.04</v>
      </c>
      <c r="I233" s="4" t="n">
        <f aca="false">G233*H233</f>
        <v>218896.08</v>
      </c>
    </row>
    <row r="234" customFormat="false" ht="15" hidden="false" customHeight="false" outlineLevel="0" collapsed="false">
      <c r="A234" s="2" t="s">
        <v>39</v>
      </c>
      <c r="B234" s="2" t="n">
        <v>4</v>
      </c>
      <c r="C234" s="2" t="s">
        <v>33</v>
      </c>
      <c r="D234" s="2" t="s">
        <v>34</v>
      </c>
      <c r="E234" s="2" t="s">
        <v>12</v>
      </c>
      <c r="F234" s="2" t="s">
        <v>35</v>
      </c>
      <c r="G234" s="3" t="n">
        <v>10975</v>
      </c>
      <c r="H234" s="4" t="n">
        <v>31.5</v>
      </c>
      <c r="I234" s="4" t="n">
        <f aca="false">G234*H234</f>
        <v>345712.5</v>
      </c>
    </row>
    <row r="235" customFormat="false" ht="15" hidden="false" customHeight="false" outlineLevel="0" collapsed="false">
      <c r="A235" s="2" t="s">
        <v>39</v>
      </c>
      <c r="B235" s="2" t="n">
        <v>4</v>
      </c>
      <c r="C235" s="2" t="s">
        <v>33</v>
      </c>
      <c r="D235" s="2" t="s">
        <v>34</v>
      </c>
      <c r="E235" s="2" t="s">
        <v>14</v>
      </c>
      <c r="F235" s="2" t="s">
        <v>35</v>
      </c>
      <c r="G235" s="3" t="n">
        <v>4550</v>
      </c>
      <c r="H235" s="4" t="n">
        <v>36.75</v>
      </c>
      <c r="I235" s="4" t="n">
        <f aca="false">G235*H235</f>
        <v>167212.5</v>
      </c>
    </row>
    <row r="236" customFormat="false" ht="15" hidden="false" customHeight="false" outlineLevel="0" collapsed="false">
      <c r="A236" s="2" t="s">
        <v>39</v>
      </c>
      <c r="B236" s="2" t="n">
        <v>4</v>
      </c>
      <c r="C236" s="2" t="s">
        <v>33</v>
      </c>
      <c r="D236" s="2" t="s">
        <v>34</v>
      </c>
      <c r="E236" s="2" t="s">
        <v>15</v>
      </c>
      <c r="F236" s="2" t="s">
        <v>35</v>
      </c>
      <c r="G236" s="3" t="n">
        <v>5592</v>
      </c>
      <c r="H236" s="4" t="n">
        <v>35</v>
      </c>
      <c r="I236" s="4" t="n">
        <f aca="false">G236*H236</f>
        <v>195720</v>
      </c>
    </row>
    <row r="237" customFormat="false" ht="15" hidden="false" customHeight="false" outlineLevel="0" collapsed="false">
      <c r="A237" s="2" t="s">
        <v>39</v>
      </c>
      <c r="B237" s="2" t="n">
        <v>4</v>
      </c>
      <c r="C237" s="2" t="s">
        <v>33</v>
      </c>
      <c r="D237" s="2" t="s">
        <v>34</v>
      </c>
      <c r="E237" s="2" t="s">
        <v>16</v>
      </c>
      <c r="F237" s="2" t="s">
        <v>35</v>
      </c>
      <c r="G237" s="3" t="n">
        <v>4875</v>
      </c>
      <c r="H237" s="4" t="n">
        <v>27.3</v>
      </c>
      <c r="I237" s="4" t="n">
        <f aca="false">G237*H237</f>
        <v>133087.5</v>
      </c>
    </row>
    <row r="238" customFormat="false" ht="15" hidden="false" customHeight="false" outlineLevel="0" collapsed="false">
      <c r="A238" s="2" t="s">
        <v>39</v>
      </c>
      <c r="B238" s="2" t="n">
        <v>4</v>
      </c>
      <c r="C238" s="2" t="s">
        <v>36</v>
      </c>
      <c r="D238" s="2" t="s">
        <v>34</v>
      </c>
      <c r="E238" s="2" t="s">
        <v>12</v>
      </c>
      <c r="F238" s="2" t="s">
        <v>35</v>
      </c>
      <c r="G238" s="3" t="n">
        <v>7658</v>
      </c>
      <c r="H238" s="4" t="n">
        <v>39.6</v>
      </c>
      <c r="I238" s="4" t="n">
        <f aca="false">G238*H238</f>
        <v>303256.8</v>
      </c>
    </row>
    <row r="239" customFormat="false" ht="15" hidden="false" customHeight="false" outlineLevel="0" collapsed="false">
      <c r="A239" s="2" t="s">
        <v>39</v>
      </c>
      <c r="B239" s="2" t="n">
        <v>4</v>
      </c>
      <c r="C239" s="2" t="s">
        <v>36</v>
      </c>
      <c r="D239" s="2" t="s">
        <v>34</v>
      </c>
      <c r="E239" s="2" t="s">
        <v>14</v>
      </c>
      <c r="F239" s="2" t="s">
        <v>35</v>
      </c>
      <c r="G239" s="3" t="n">
        <v>3018</v>
      </c>
      <c r="H239" s="4" t="n">
        <v>46.2</v>
      </c>
      <c r="I239" s="4" t="n">
        <f aca="false">G239*H239</f>
        <v>139431.6</v>
      </c>
    </row>
    <row r="240" customFormat="false" ht="15" hidden="false" customHeight="false" outlineLevel="0" collapsed="false">
      <c r="A240" s="2" t="s">
        <v>39</v>
      </c>
      <c r="B240" s="2" t="n">
        <v>4</v>
      </c>
      <c r="C240" s="2" t="s">
        <v>36</v>
      </c>
      <c r="D240" s="2" t="s">
        <v>34</v>
      </c>
      <c r="E240" s="2" t="s">
        <v>15</v>
      </c>
      <c r="F240" s="2" t="s">
        <v>35</v>
      </c>
      <c r="G240" s="3" t="n">
        <v>4093</v>
      </c>
      <c r="H240" s="4" t="n">
        <v>44</v>
      </c>
      <c r="I240" s="4" t="n">
        <f aca="false">G240*H240</f>
        <v>180092</v>
      </c>
    </row>
    <row r="241" customFormat="false" ht="15" hidden="false" customHeight="false" outlineLevel="0" collapsed="false">
      <c r="A241" s="2" t="s">
        <v>39</v>
      </c>
      <c r="B241" s="2" t="n">
        <v>4</v>
      </c>
      <c r="C241" s="2" t="s">
        <v>36</v>
      </c>
      <c r="D241" s="2" t="s">
        <v>34</v>
      </c>
      <c r="E241" s="2" t="s">
        <v>16</v>
      </c>
      <c r="F241" s="2" t="s">
        <v>35</v>
      </c>
      <c r="G241" s="3" t="n">
        <v>3218</v>
      </c>
      <c r="H241" s="4" t="n">
        <v>34.32</v>
      </c>
      <c r="I241" s="4" t="n">
        <f aca="false">G241*H241</f>
        <v>110441.76</v>
      </c>
    </row>
    <row r="242" customFormat="false" ht="15" hidden="false" customHeight="false" outlineLevel="0" collapsed="false">
      <c r="A242" s="2" t="s">
        <v>40</v>
      </c>
      <c r="B242" s="2" t="n">
        <v>5</v>
      </c>
      <c r="C242" s="2" t="s">
        <v>10</v>
      </c>
      <c r="D242" s="2" t="s">
        <v>11</v>
      </c>
      <c r="E242" s="2" t="s">
        <v>12</v>
      </c>
      <c r="F242" s="2" t="s">
        <v>13</v>
      </c>
      <c r="G242" s="3" t="n">
        <v>26801</v>
      </c>
      <c r="H242" s="4" t="n">
        <v>37.8</v>
      </c>
      <c r="I242" s="4" t="n">
        <f aca="false">G242*H242</f>
        <v>1013077.8</v>
      </c>
    </row>
    <row r="243" customFormat="false" ht="15" hidden="false" customHeight="false" outlineLevel="0" collapsed="false">
      <c r="A243" s="2" t="s">
        <v>40</v>
      </c>
      <c r="B243" s="2" t="n">
        <v>5</v>
      </c>
      <c r="C243" s="2" t="s">
        <v>10</v>
      </c>
      <c r="D243" s="2" t="s">
        <v>11</v>
      </c>
      <c r="E243" s="2" t="s">
        <v>14</v>
      </c>
      <c r="F243" s="2" t="s">
        <v>13</v>
      </c>
      <c r="G243" s="3" t="n">
        <v>11137</v>
      </c>
      <c r="H243" s="4" t="n">
        <v>44.1</v>
      </c>
      <c r="I243" s="4" t="n">
        <f aca="false">G243*H243</f>
        <v>491141.7</v>
      </c>
    </row>
    <row r="244" customFormat="false" ht="15" hidden="false" customHeight="false" outlineLevel="0" collapsed="false">
      <c r="A244" s="2" t="s">
        <v>40</v>
      </c>
      <c r="B244" s="2" t="n">
        <v>5</v>
      </c>
      <c r="C244" s="2" t="s">
        <v>10</v>
      </c>
      <c r="D244" s="2" t="s">
        <v>11</v>
      </c>
      <c r="E244" s="2" t="s">
        <v>15</v>
      </c>
      <c r="F244" s="2" t="s">
        <v>13</v>
      </c>
      <c r="G244" s="3" t="n">
        <v>13864</v>
      </c>
      <c r="H244" s="4" t="n">
        <v>42</v>
      </c>
      <c r="I244" s="4" t="n">
        <f aca="false">G244*H244</f>
        <v>582288</v>
      </c>
    </row>
    <row r="245" customFormat="false" ht="15" hidden="false" customHeight="false" outlineLevel="0" collapsed="false">
      <c r="A245" s="2" t="s">
        <v>40</v>
      </c>
      <c r="B245" s="2" t="n">
        <v>5</v>
      </c>
      <c r="C245" s="2" t="s">
        <v>10</v>
      </c>
      <c r="D245" s="2" t="s">
        <v>11</v>
      </c>
      <c r="E245" s="2" t="s">
        <v>16</v>
      </c>
      <c r="F245" s="2" t="s">
        <v>13</v>
      </c>
      <c r="G245" s="3" t="n">
        <v>13048</v>
      </c>
      <c r="H245" s="4" t="n">
        <v>32.76</v>
      </c>
      <c r="I245" s="4" t="n">
        <f aca="false">G245*H245</f>
        <v>427452.48</v>
      </c>
    </row>
    <row r="246" customFormat="false" ht="15" hidden="false" customHeight="false" outlineLevel="0" collapsed="false">
      <c r="A246" s="2" t="s">
        <v>40</v>
      </c>
      <c r="B246" s="2" t="n">
        <v>5</v>
      </c>
      <c r="C246" s="2" t="s">
        <v>17</v>
      </c>
      <c r="D246" s="2" t="s">
        <v>11</v>
      </c>
      <c r="E246" s="2" t="s">
        <v>12</v>
      </c>
      <c r="F246" s="2" t="s">
        <v>13</v>
      </c>
      <c r="G246" s="3" t="n">
        <v>16713</v>
      </c>
      <c r="H246" s="4" t="n">
        <v>34.2</v>
      </c>
      <c r="I246" s="4" t="n">
        <f aca="false">G246*H246</f>
        <v>571584.6</v>
      </c>
    </row>
    <row r="247" customFormat="false" ht="15" hidden="false" customHeight="false" outlineLevel="0" collapsed="false">
      <c r="A247" s="2" t="s">
        <v>40</v>
      </c>
      <c r="B247" s="2" t="n">
        <v>5</v>
      </c>
      <c r="C247" s="2" t="s">
        <v>17</v>
      </c>
      <c r="D247" s="2" t="s">
        <v>11</v>
      </c>
      <c r="E247" s="2" t="s">
        <v>14</v>
      </c>
      <c r="F247" s="2" t="s">
        <v>13</v>
      </c>
      <c r="G247" s="3" t="n">
        <v>7195</v>
      </c>
      <c r="H247" s="4" t="n">
        <v>39.9</v>
      </c>
      <c r="I247" s="4" t="n">
        <f aca="false">G247*H247</f>
        <v>287080.5</v>
      </c>
    </row>
    <row r="248" customFormat="false" ht="15" hidden="false" customHeight="false" outlineLevel="0" collapsed="false">
      <c r="A248" s="2" t="s">
        <v>40</v>
      </c>
      <c r="B248" s="2" t="n">
        <v>5</v>
      </c>
      <c r="C248" s="2" t="s">
        <v>17</v>
      </c>
      <c r="D248" s="2" t="s">
        <v>11</v>
      </c>
      <c r="E248" s="2" t="s">
        <v>15</v>
      </c>
      <c r="F248" s="2" t="s">
        <v>13</v>
      </c>
      <c r="G248" s="3" t="n">
        <v>9390</v>
      </c>
      <c r="H248" s="4" t="n">
        <v>38</v>
      </c>
      <c r="I248" s="4" t="n">
        <f aca="false">G248*H248</f>
        <v>356820</v>
      </c>
    </row>
    <row r="249" customFormat="false" ht="15" hidden="false" customHeight="false" outlineLevel="0" collapsed="false">
      <c r="A249" s="2" t="s">
        <v>40</v>
      </c>
      <c r="B249" s="2" t="n">
        <v>5</v>
      </c>
      <c r="C249" s="2" t="s">
        <v>17</v>
      </c>
      <c r="D249" s="2" t="s">
        <v>11</v>
      </c>
      <c r="E249" s="2" t="s">
        <v>16</v>
      </c>
      <c r="F249" s="2" t="s">
        <v>13</v>
      </c>
      <c r="G249" s="3" t="n">
        <v>8728</v>
      </c>
      <c r="H249" s="4" t="n">
        <v>29.64</v>
      </c>
      <c r="I249" s="4" t="n">
        <f aca="false">G249*H249</f>
        <v>258697.92</v>
      </c>
    </row>
    <row r="250" customFormat="false" ht="15" hidden="false" customHeight="false" outlineLevel="0" collapsed="false">
      <c r="A250" s="2" t="s">
        <v>40</v>
      </c>
      <c r="B250" s="2" t="n">
        <v>5</v>
      </c>
      <c r="C250" s="2" t="s">
        <v>18</v>
      </c>
      <c r="D250" s="2" t="s">
        <v>11</v>
      </c>
      <c r="E250" s="2" t="s">
        <v>12</v>
      </c>
      <c r="F250" s="2" t="s">
        <v>13</v>
      </c>
      <c r="G250" s="3" t="n">
        <v>9464</v>
      </c>
      <c r="H250" s="4" t="n">
        <v>49.5</v>
      </c>
      <c r="I250" s="4" t="n">
        <f aca="false">G250*H250</f>
        <v>468468</v>
      </c>
    </row>
    <row r="251" customFormat="false" ht="15" hidden="false" customHeight="false" outlineLevel="0" collapsed="false">
      <c r="A251" s="2" t="s">
        <v>40</v>
      </c>
      <c r="B251" s="2" t="n">
        <v>5</v>
      </c>
      <c r="C251" s="2" t="s">
        <v>18</v>
      </c>
      <c r="D251" s="2" t="s">
        <v>11</v>
      </c>
      <c r="E251" s="2" t="s">
        <v>14</v>
      </c>
      <c r="F251" s="2" t="s">
        <v>13</v>
      </c>
      <c r="G251" s="3" t="n">
        <v>4162</v>
      </c>
      <c r="H251" s="4" t="n">
        <v>57.75</v>
      </c>
      <c r="I251" s="4" t="n">
        <f aca="false">G251*H251</f>
        <v>240355.5</v>
      </c>
    </row>
    <row r="252" customFormat="false" ht="15" hidden="false" customHeight="false" outlineLevel="0" collapsed="false">
      <c r="A252" s="2" t="s">
        <v>40</v>
      </c>
      <c r="B252" s="2" t="n">
        <v>5</v>
      </c>
      <c r="C252" s="2" t="s">
        <v>18</v>
      </c>
      <c r="D252" s="2" t="s">
        <v>11</v>
      </c>
      <c r="E252" s="2" t="s">
        <v>15</v>
      </c>
      <c r="F252" s="2" t="s">
        <v>13</v>
      </c>
      <c r="G252" s="3" t="n">
        <v>5101</v>
      </c>
      <c r="H252" s="4" t="n">
        <v>55</v>
      </c>
      <c r="I252" s="4" t="n">
        <f aca="false">G252*H252</f>
        <v>280555</v>
      </c>
    </row>
    <row r="253" customFormat="false" ht="15" hidden="false" customHeight="false" outlineLevel="0" collapsed="false">
      <c r="A253" s="2" t="s">
        <v>40</v>
      </c>
      <c r="B253" s="2" t="n">
        <v>5</v>
      </c>
      <c r="C253" s="2" t="s">
        <v>18</v>
      </c>
      <c r="D253" s="2" t="s">
        <v>11</v>
      </c>
      <c r="E253" s="2" t="s">
        <v>16</v>
      </c>
      <c r="F253" s="2" t="s">
        <v>13</v>
      </c>
      <c r="G253" s="3" t="n">
        <v>4897</v>
      </c>
      <c r="H253" s="4" t="n">
        <v>42.9</v>
      </c>
      <c r="I253" s="4" t="n">
        <f aca="false">G253*H253</f>
        <v>210081.3</v>
      </c>
    </row>
    <row r="254" customFormat="false" ht="15" hidden="false" customHeight="false" outlineLevel="0" collapsed="false">
      <c r="A254" s="2" t="s">
        <v>40</v>
      </c>
      <c r="B254" s="2" t="n">
        <v>5</v>
      </c>
      <c r="C254" s="2" t="s">
        <v>19</v>
      </c>
      <c r="D254" s="2" t="s">
        <v>20</v>
      </c>
      <c r="E254" s="2" t="s">
        <v>12</v>
      </c>
      <c r="F254" s="2" t="s">
        <v>13</v>
      </c>
      <c r="G254" s="3" t="n">
        <v>21294</v>
      </c>
      <c r="H254" s="4" t="n">
        <v>23.4</v>
      </c>
      <c r="I254" s="4" t="n">
        <f aca="false">G254*H254</f>
        <v>498279.6</v>
      </c>
    </row>
    <row r="255" customFormat="false" ht="15" hidden="false" customHeight="false" outlineLevel="0" collapsed="false">
      <c r="A255" s="2" t="s">
        <v>40</v>
      </c>
      <c r="B255" s="2" t="n">
        <v>5</v>
      </c>
      <c r="C255" s="2" t="s">
        <v>19</v>
      </c>
      <c r="D255" s="2" t="s">
        <v>20</v>
      </c>
      <c r="E255" s="2" t="s">
        <v>14</v>
      </c>
      <c r="F255" s="2" t="s">
        <v>13</v>
      </c>
      <c r="G255" s="3" t="n">
        <v>8969</v>
      </c>
      <c r="H255" s="4" t="n">
        <v>27.3</v>
      </c>
      <c r="I255" s="4" t="n">
        <f aca="false">G255*H255</f>
        <v>244853.7</v>
      </c>
    </row>
    <row r="256" customFormat="false" ht="15" hidden="false" customHeight="false" outlineLevel="0" collapsed="false">
      <c r="A256" s="2" t="s">
        <v>40</v>
      </c>
      <c r="B256" s="2" t="n">
        <v>5</v>
      </c>
      <c r="C256" s="2" t="s">
        <v>19</v>
      </c>
      <c r="D256" s="2" t="s">
        <v>20</v>
      </c>
      <c r="E256" s="2" t="s">
        <v>15</v>
      </c>
      <c r="F256" s="2" t="s">
        <v>13</v>
      </c>
      <c r="G256" s="3" t="n">
        <v>10938</v>
      </c>
      <c r="H256" s="4" t="n">
        <v>26</v>
      </c>
      <c r="I256" s="4" t="n">
        <f aca="false">G256*H256</f>
        <v>284388</v>
      </c>
    </row>
    <row r="257" customFormat="false" ht="15" hidden="false" customHeight="false" outlineLevel="0" collapsed="false">
      <c r="A257" s="2" t="s">
        <v>40</v>
      </c>
      <c r="B257" s="2" t="n">
        <v>5</v>
      </c>
      <c r="C257" s="2" t="s">
        <v>19</v>
      </c>
      <c r="D257" s="2" t="s">
        <v>20</v>
      </c>
      <c r="E257" s="2" t="s">
        <v>16</v>
      </c>
      <c r="F257" s="2" t="s">
        <v>13</v>
      </c>
      <c r="G257" s="3" t="n">
        <v>9611</v>
      </c>
      <c r="H257" s="4" t="n">
        <v>20.28</v>
      </c>
      <c r="I257" s="4" t="n">
        <f aca="false">G257*H257</f>
        <v>194911.08</v>
      </c>
    </row>
    <row r="258" customFormat="false" ht="15" hidden="false" customHeight="false" outlineLevel="0" collapsed="false">
      <c r="A258" s="2" t="s">
        <v>40</v>
      </c>
      <c r="B258" s="2" t="n">
        <v>5</v>
      </c>
      <c r="C258" s="2" t="s">
        <v>21</v>
      </c>
      <c r="D258" s="2" t="s">
        <v>20</v>
      </c>
      <c r="E258" s="2" t="s">
        <v>12</v>
      </c>
      <c r="F258" s="2" t="s">
        <v>22</v>
      </c>
      <c r="G258" s="3" t="n">
        <v>23404</v>
      </c>
      <c r="H258" s="4" t="n">
        <v>12.6</v>
      </c>
      <c r="I258" s="4" t="n">
        <f aca="false">G258*H258</f>
        <v>294890.4</v>
      </c>
    </row>
    <row r="259" customFormat="false" ht="15" hidden="false" customHeight="false" outlineLevel="0" collapsed="false">
      <c r="A259" s="2" t="s">
        <v>40</v>
      </c>
      <c r="B259" s="2" t="n">
        <v>5</v>
      </c>
      <c r="C259" s="2" t="s">
        <v>21</v>
      </c>
      <c r="D259" s="2" t="s">
        <v>20</v>
      </c>
      <c r="E259" s="2" t="s">
        <v>14</v>
      </c>
      <c r="F259" s="2" t="s">
        <v>22</v>
      </c>
      <c r="G259" s="3" t="n">
        <v>10154</v>
      </c>
      <c r="H259" s="4" t="n">
        <v>14.7</v>
      </c>
      <c r="I259" s="4" t="n">
        <f aca="false">G259*H259</f>
        <v>149263.8</v>
      </c>
    </row>
    <row r="260" customFormat="false" ht="15" hidden="false" customHeight="false" outlineLevel="0" collapsed="false">
      <c r="A260" s="2" t="s">
        <v>40</v>
      </c>
      <c r="B260" s="2" t="n">
        <v>5</v>
      </c>
      <c r="C260" s="2" t="s">
        <v>21</v>
      </c>
      <c r="D260" s="2" t="s">
        <v>20</v>
      </c>
      <c r="E260" s="2" t="s">
        <v>15</v>
      </c>
      <c r="F260" s="2" t="s">
        <v>22</v>
      </c>
      <c r="G260" s="3" t="n">
        <v>11835</v>
      </c>
      <c r="H260" s="4" t="n">
        <v>14</v>
      </c>
      <c r="I260" s="4" t="n">
        <f aca="false">G260*H260</f>
        <v>165690</v>
      </c>
    </row>
    <row r="261" customFormat="false" ht="15" hidden="false" customHeight="false" outlineLevel="0" collapsed="false">
      <c r="A261" s="2" t="s">
        <v>40</v>
      </c>
      <c r="B261" s="2" t="n">
        <v>5</v>
      </c>
      <c r="C261" s="2" t="s">
        <v>21</v>
      </c>
      <c r="D261" s="2" t="s">
        <v>20</v>
      </c>
      <c r="E261" s="2" t="s">
        <v>16</v>
      </c>
      <c r="F261" s="2" t="s">
        <v>22</v>
      </c>
      <c r="G261" s="3" t="n">
        <v>11199</v>
      </c>
      <c r="H261" s="4" t="n">
        <v>10.92</v>
      </c>
      <c r="I261" s="4" t="n">
        <f aca="false">G261*H261</f>
        <v>122293.08</v>
      </c>
    </row>
    <row r="262" customFormat="false" ht="15" hidden="false" customHeight="false" outlineLevel="0" collapsed="false">
      <c r="A262" s="2" t="s">
        <v>40</v>
      </c>
      <c r="B262" s="2" t="n">
        <v>5</v>
      </c>
      <c r="C262" s="2" t="s">
        <v>23</v>
      </c>
      <c r="D262" s="2" t="s">
        <v>20</v>
      </c>
      <c r="E262" s="2" t="s">
        <v>12</v>
      </c>
      <c r="F262" s="2" t="s">
        <v>13</v>
      </c>
      <c r="G262" s="3" t="n">
        <v>8029</v>
      </c>
      <c r="H262" s="4" t="n">
        <v>27.9</v>
      </c>
      <c r="I262" s="4" t="n">
        <f aca="false">G262*H262</f>
        <v>224009.1</v>
      </c>
    </row>
    <row r="263" customFormat="false" ht="15" hidden="false" customHeight="false" outlineLevel="0" collapsed="false">
      <c r="A263" s="2" t="s">
        <v>40</v>
      </c>
      <c r="B263" s="2" t="n">
        <v>5</v>
      </c>
      <c r="C263" s="2" t="s">
        <v>23</v>
      </c>
      <c r="D263" s="2" t="s">
        <v>20</v>
      </c>
      <c r="E263" s="2" t="s">
        <v>14</v>
      </c>
      <c r="F263" s="2" t="s">
        <v>13</v>
      </c>
      <c r="G263" s="3" t="n">
        <v>3613</v>
      </c>
      <c r="H263" s="4" t="n">
        <v>32.55</v>
      </c>
      <c r="I263" s="4" t="n">
        <f aca="false">G263*H263</f>
        <v>117603.15</v>
      </c>
    </row>
    <row r="264" customFormat="false" ht="15" hidden="false" customHeight="false" outlineLevel="0" collapsed="false">
      <c r="A264" s="2" t="s">
        <v>40</v>
      </c>
      <c r="B264" s="2" t="n">
        <v>5</v>
      </c>
      <c r="C264" s="2" t="s">
        <v>23</v>
      </c>
      <c r="D264" s="2" t="s">
        <v>20</v>
      </c>
      <c r="E264" s="2" t="s">
        <v>15</v>
      </c>
      <c r="F264" s="2" t="s">
        <v>13</v>
      </c>
      <c r="G264" s="3" t="n">
        <v>4336</v>
      </c>
      <c r="H264" s="4" t="n">
        <v>31</v>
      </c>
      <c r="I264" s="4" t="n">
        <f aca="false">G264*H264</f>
        <v>134416</v>
      </c>
    </row>
    <row r="265" customFormat="false" ht="15" hidden="false" customHeight="false" outlineLevel="0" collapsed="false">
      <c r="A265" s="2" t="s">
        <v>40</v>
      </c>
      <c r="B265" s="2" t="n">
        <v>5</v>
      </c>
      <c r="C265" s="2" t="s">
        <v>23</v>
      </c>
      <c r="D265" s="2" t="s">
        <v>20</v>
      </c>
      <c r="E265" s="2" t="s">
        <v>16</v>
      </c>
      <c r="F265" s="2" t="s">
        <v>13</v>
      </c>
      <c r="G265" s="3" t="n">
        <v>4097</v>
      </c>
      <c r="H265" s="4" t="n">
        <v>24.18</v>
      </c>
      <c r="I265" s="4" t="n">
        <f aca="false">G265*H265</f>
        <v>99065.46</v>
      </c>
    </row>
    <row r="266" customFormat="false" ht="15" hidden="false" customHeight="false" outlineLevel="0" collapsed="false">
      <c r="A266" s="2" t="s">
        <v>40</v>
      </c>
      <c r="B266" s="2" t="n">
        <v>5</v>
      </c>
      <c r="C266" s="2" t="s">
        <v>24</v>
      </c>
      <c r="D266" s="2" t="s">
        <v>20</v>
      </c>
      <c r="E266" s="2" t="s">
        <v>12</v>
      </c>
      <c r="F266" s="2" t="s">
        <v>22</v>
      </c>
      <c r="G266" s="3" t="n">
        <v>28452</v>
      </c>
      <c r="H266" s="4" t="n">
        <v>10.8</v>
      </c>
      <c r="I266" s="4" t="n">
        <f aca="false">G266*H266</f>
        <v>307281.6</v>
      </c>
    </row>
    <row r="267" customFormat="false" ht="15" hidden="false" customHeight="false" outlineLevel="0" collapsed="false">
      <c r="A267" s="2" t="s">
        <v>40</v>
      </c>
      <c r="B267" s="2" t="n">
        <v>5</v>
      </c>
      <c r="C267" s="2" t="s">
        <v>24</v>
      </c>
      <c r="D267" s="2" t="s">
        <v>20</v>
      </c>
      <c r="E267" s="2" t="s">
        <v>14</v>
      </c>
      <c r="F267" s="2" t="s">
        <v>22</v>
      </c>
      <c r="G267" s="3" t="n">
        <v>12746</v>
      </c>
      <c r="H267" s="4" t="n">
        <v>12.6</v>
      </c>
      <c r="I267" s="4" t="n">
        <f aca="false">G267*H267</f>
        <v>160599.6</v>
      </c>
    </row>
    <row r="268" customFormat="false" ht="15" hidden="false" customHeight="false" outlineLevel="0" collapsed="false">
      <c r="A268" s="2" t="s">
        <v>40</v>
      </c>
      <c r="B268" s="2" t="n">
        <v>5</v>
      </c>
      <c r="C268" s="2" t="s">
        <v>24</v>
      </c>
      <c r="D268" s="2" t="s">
        <v>20</v>
      </c>
      <c r="E268" s="2" t="s">
        <v>15</v>
      </c>
      <c r="F268" s="2" t="s">
        <v>22</v>
      </c>
      <c r="G268" s="3" t="n">
        <v>15028</v>
      </c>
      <c r="H268" s="4" t="n">
        <v>12</v>
      </c>
      <c r="I268" s="4" t="n">
        <f aca="false">G268*H268</f>
        <v>180336</v>
      </c>
    </row>
    <row r="269" customFormat="false" ht="15" hidden="false" customHeight="false" outlineLevel="0" collapsed="false">
      <c r="A269" s="2" t="s">
        <v>40</v>
      </c>
      <c r="B269" s="2" t="n">
        <v>5</v>
      </c>
      <c r="C269" s="2" t="s">
        <v>24</v>
      </c>
      <c r="D269" s="2" t="s">
        <v>20</v>
      </c>
      <c r="E269" s="2" t="s">
        <v>16</v>
      </c>
      <c r="F269" s="2" t="s">
        <v>22</v>
      </c>
      <c r="G269" s="3" t="n">
        <v>14842</v>
      </c>
      <c r="H269" s="4" t="n">
        <v>9.36</v>
      </c>
      <c r="I269" s="4" t="n">
        <f aca="false">G269*H269</f>
        <v>138921.12</v>
      </c>
    </row>
    <row r="270" customFormat="false" ht="15" hidden="false" customHeight="false" outlineLevel="0" collapsed="false">
      <c r="A270" s="2" t="s">
        <v>40</v>
      </c>
      <c r="B270" s="2" t="n">
        <v>5</v>
      </c>
      <c r="C270" s="2" t="s">
        <v>25</v>
      </c>
      <c r="D270" s="2" t="s">
        <v>20</v>
      </c>
      <c r="E270" s="2" t="s">
        <v>12</v>
      </c>
      <c r="F270" s="2" t="s">
        <v>22</v>
      </c>
      <c r="G270" s="3" t="n">
        <v>38824</v>
      </c>
      <c r="H270" s="4" t="n">
        <v>8.1</v>
      </c>
      <c r="I270" s="4" t="n">
        <f aca="false">G270*H270</f>
        <v>314474.4</v>
      </c>
    </row>
    <row r="271" customFormat="false" ht="15" hidden="false" customHeight="false" outlineLevel="0" collapsed="false">
      <c r="A271" s="2" t="s">
        <v>40</v>
      </c>
      <c r="B271" s="2" t="n">
        <v>5</v>
      </c>
      <c r="C271" s="2" t="s">
        <v>25</v>
      </c>
      <c r="D271" s="2" t="s">
        <v>20</v>
      </c>
      <c r="E271" s="2" t="s">
        <v>14</v>
      </c>
      <c r="F271" s="2" t="s">
        <v>22</v>
      </c>
      <c r="G271" s="3" t="n">
        <v>15251</v>
      </c>
      <c r="H271" s="4" t="n">
        <v>9.45</v>
      </c>
      <c r="I271" s="4" t="n">
        <f aca="false">G271*H271</f>
        <v>144121.95</v>
      </c>
    </row>
    <row r="272" customFormat="false" ht="15" hidden="false" customHeight="false" outlineLevel="0" collapsed="false">
      <c r="A272" s="2" t="s">
        <v>40</v>
      </c>
      <c r="B272" s="2" t="n">
        <v>5</v>
      </c>
      <c r="C272" s="2" t="s">
        <v>25</v>
      </c>
      <c r="D272" s="2" t="s">
        <v>20</v>
      </c>
      <c r="E272" s="2" t="s">
        <v>15</v>
      </c>
      <c r="F272" s="2" t="s">
        <v>22</v>
      </c>
      <c r="G272" s="3" t="n">
        <v>20832</v>
      </c>
      <c r="H272" s="4" t="n">
        <v>9</v>
      </c>
      <c r="I272" s="4" t="n">
        <f aca="false">G272*H272</f>
        <v>187488</v>
      </c>
    </row>
    <row r="273" customFormat="false" ht="15" hidden="false" customHeight="false" outlineLevel="0" collapsed="false">
      <c r="A273" s="2" t="s">
        <v>40</v>
      </c>
      <c r="B273" s="2" t="n">
        <v>5</v>
      </c>
      <c r="C273" s="2" t="s">
        <v>25</v>
      </c>
      <c r="D273" s="2" t="s">
        <v>20</v>
      </c>
      <c r="E273" s="2" t="s">
        <v>16</v>
      </c>
      <c r="F273" s="2" t="s">
        <v>22</v>
      </c>
      <c r="G273" s="3" t="n">
        <v>17506</v>
      </c>
      <c r="H273" s="4" t="n">
        <v>7.02</v>
      </c>
      <c r="I273" s="4" t="n">
        <f aca="false">G273*H273</f>
        <v>122892.12</v>
      </c>
    </row>
    <row r="274" customFormat="false" ht="15" hidden="false" customHeight="false" outlineLevel="0" collapsed="false">
      <c r="A274" s="2" t="s">
        <v>40</v>
      </c>
      <c r="B274" s="2" t="n">
        <v>5</v>
      </c>
      <c r="C274" s="2" t="s">
        <v>26</v>
      </c>
      <c r="D274" s="2" t="s">
        <v>20</v>
      </c>
      <c r="E274" s="2" t="s">
        <v>12</v>
      </c>
      <c r="F274" s="2" t="s">
        <v>22</v>
      </c>
      <c r="G274" s="3" t="n">
        <v>23023</v>
      </c>
      <c r="H274" s="4" t="n">
        <v>14.4</v>
      </c>
      <c r="I274" s="4" t="n">
        <f aca="false">G274*H274</f>
        <v>331531.2</v>
      </c>
    </row>
    <row r="275" customFormat="false" ht="15" hidden="false" customHeight="false" outlineLevel="0" collapsed="false">
      <c r="A275" s="2" t="s">
        <v>40</v>
      </c>
      <c r="B275" s="2" t="n">
        <v>5</v>
      </c>
      <c r="C275" s="2" t="s">
        <v>26</v>
      </c>
      <c r="D275" s="2" t="s">
        <v>20</v>
      </c>
      <c r="E275" s="2" t="s">
        <v>14</v>
      </c>
      <c r="F275" s="2" t="s">
        <v>22</v>
      </c>
      <c r="G275" s="3" t="n">
        <v>9078</v>
      </c>
      <c r="H275" s="4" t="n">
        <v>16.8</v>
      </c>
      <c r="I275" s="4" t="n">
        <f aca="false">G275*H275</f>
        <v>152510.4</v>
      </c>
    </row>
    <row r="276" customFormat="false" ht="15" hidden="false" customHeight="false" outlineLevel="0" collapsed="false">
      <c r="A276" s="2" t="s">
        <v>40</v>
      </c>
      <c r="B276" s="2" t="n">
        <v>5</v>
      </c>
      <c r="C276" s="2" t="s">
        <v>26</v>
      </c>
      <c r="D276" s="2" t="s">
        <v>20</v>
      </c>
      <c r="E276" s="2" t="s">
        <v>15</v>
      </c>
      <c r="F276" s="2" t="s">
        <v>22</v>
      </c>
      <c r="G276" s="3" t="n">
        <v>10978</v>
      </c>
      <c r="H276" s="4" t="n">
        <v>16</v>
      </c>
      <c r="I276" s="4" t="n">
        <f aca="false">G276*H276</f>
        <v>175648</v>
      </c>
    </row>
    <row r="277" customFormat="false" ht="15" hidden="false" customHeight="false" outlineLevel="0" collapsed="false">
      <c r="A277" s="2" t="s">
        <v>40</v>
      </c>
      <c r="B277" s="2" t="n">
        <v>5</v>
      </c>
      <c r="C277" s="2" t="s">
        <v>26</v>
      </c>
      <c r="D277" s="2" t="s">
        <v>20</v>
      </c>
      <c r="E277" s="2" t="s">
        <v>16</v>
      </c>
      <c r="F277" s="2" t="s">
        <v>22</v>
      </c>
      <c r="G277" s="3" t="n">
        <v>10621</v>
      </c>
      <c r="H277" s="4" t="n">
        <v>12.48</v>
      </c>
      <c r="I277" s="4" t="n">
        <f aca="false">G277*H277</f>
        <v>132550.08</v>
      </c>
    </row>
    <row r="278" customFormat="false" ht="15" hidden="false" customHeight="false" outlineLevel="0" collapsed="false">
      <c r="A278" s="2" t="s">
        <v>40</v>
      </c>
      <c r="B278" s="2" t="n">
        <v>5</v>
      </c>
      <c r="C278" s="2" t="s">
        <v>27</v>
      </c>
      <c r="D278" s="2" t="s">
        <v>28</v>
      </c>
      <c r="E278" s="2" t="s">
        <v>12</v>
      </c>
      <c r="F278" s="2" t="s">
        <v>29</v>
      </c>
      <c r="G278" s="3" t="n">
        <v>14843</v>
      </c>
      <c r="H278" s="4" t="n">
        <v>43.2</v>
      </c>
      <c r="I278" s="4" t="n">
        <f aca="false">G278*H278</f>
        <v>641217.6</v>
      </c>
    </row>
    <row r="279" customFormat="false" ht="15" hidden="false" customHeight="false" outlineLevel="0" collapsed="false">
      <c r="A279" s="2" t="s">
        <v>40</v>
      </c>
      <c r="B279" s="2" t="n">
        <v>5</v>
      </c>
      <c r="C279" s="2" t="s">
        <v>27</v>
      </c>
      <c r="D279" s="2" t="s">
        <v>28</v>
      </c>
      <c r="E279" s="2" t="s">
        <v>14</v>
      </c>
      <c r="F279" s="2" t="s">
        <v>29</v>
      </c>
      <c r="G279" s="3" t="n">
        <v>6050</v>
      </c>
      <c r="H279" s="4" t="n">
        <v>50.4</v>
      </c>
      <c r="I279" s="4" t="n">
        <f aca="false">G279*H279</f>
        <v>304920</v>
      </c>
    </row>
    <row r="280" customFormat="false" ht="15" hidden="false" customHeight="false" outlineLevel="0" collapsed="false">
      <c r="A280" s="2" t="s">
        <v>40</v>
      </c>
      <c r="B280" s="2" t="n">
        <v>5</v>
      </c>
      <c r="C280" s="2" t="s">
        <v>27</v>
      </c>
      <c r="D280" s="2" t="s">
        <v>28</v>
      </c>
      <c r="E280" s="2" t="s">
        <v>15</v>
      </c>
      <c r="F280" s="2" t="s">
        <v>29</v>
      </c>
      <c r="G280" s="3" t="n">
        <v>7923</v>
      </c>
      <c r="H280" s="4" t="n">
        <v>48</v>
      </c>
      <c r="I280" s="4" t="n">
        <f aca="false">G280*H280</f>
        <v>380304</v>
      </c>
    </row>
    <row r="281" customFormat="false" ht="15" hidden="false" customHeight="false" outlineLevel="0" collapsed="false">
      <c r="A281" s="2" t="s">
        <v>40</v>
      </c>
      <c r="B281" s="2" t="n">
        <v>5</v>
      </c>
      <c r="C281" s="2" t="s">
        <v>27</v>
      </c>
      <c r="D281" s="2" t="s">
        <v>28</v>
      </c>
      <c r="E281" s="2" t="s">
        <v>16</v>
      </c>
      <c r="F281" s="2" t="s">
        <v>29</v>
      </c>
      <c r="G281" s="3" t="n">
        <v>6833</v>
      </c>
      <c r="H281" s="4" t="n">
        <v>37.44</v>
      </c>
      <c r="I281" s="4" t="n">
        <f aca="false">G281*H281</f>
        <v>255827.52</v>
      </c>
    </row>
    <row r="282" customFormat="false" ht="15" hidden="false" customHeight="false" outlineLevel="0" collapsed="false">
      <c r="A282" s="2" t="s">
        <v>40</v>
      </c>
      <c r="B282" s="2" t="n">
        <v>5</v>
      </c>
      <c r="C282" s="2" t="s">
        <v>30</v>
      </c>
      <c r="D282" s="2" t="s">
        <v>28</v>
      </c>
      <c r="E282" s="2" t="s">
        <v>12</v>
      </c>
      <c r="F282" s="2" t="s">
        <v>29</v>
      </c>
      <c r="G282" s="3" t="n">
        <v>4866</v>
      </c>
      <c r="H282" s="4" t="n">
        <v>108</v>
      </c>
      <c r="I282" s="4" t="n">
        <f aca="false">G282*H282</f>
        <v>525528</v>
      </c>
    </row>
    <row r="283" customFormat="false" ht="15" hidden="false" customHeight="false" outlineLevel="0" collapsed="false">
      <c r="A283" s="2" t="s">
        <v>40</v>
      </c>
      <c r="B283" s="2" t="n">
        <v>5</v>
      </c>
      <c r="C283" s="2" t="s">
        <v>30</v>
      </c>
      <c r="D283" s="2" t="s">
        <v>28</v>
      </c>
      <c r="E283" s="2" t="s">
        <v>14</v>
      </c>
      <c r="F283" s="2" t="s">
        <v>29</v>
      </c>
      <c r="G283" s="3" t="n">
        <v>2322</v>
      </c>
      <c r="H283" s="4" t="n">
        <v>126</v>
      </c>
      <c r="I283" s="4" t="n">
        <f aca="false">G283*H283</f>
        <v>292572</v>
      </c>
    </row>
    <row r="284" customFormat="false" ht="15" hidden="false" customHeight="false" outlineLevel="0" collapsed="false">
      <c r="A284" s="2" t="s">
        <v>40</v>
      </c>
      <c r="B284" s="2" t="n">
        <v>5</v>
      </c>
      <c r="C284" s="2" t="s">
        <v>30</v>
      </c>
      <c r="D284" s="2" t="s">
        <v>28</v>
      </c>
      <c r="E284" s="2" t="s">
        <v>15</v>
      </c>
      <c r="F284" s="2" t="s">
        <v>29</v>
      </c>
      <c r="G284" s="3" t="n">
        <v>2632</v>
      </c>
      <c r="H284" s="4" t="n">
        <v>120</v>
      </c>
      <c r="I284" s="4" t="n">
        <f aca="false">G284*H284</f>
        <v>315840</v>
      </c>
    </row>
    <row r="285" customFormat="false" ht="15" hidden="false" customHeight="false" outlineLevel="0" collapsed="false">
      <c r="A285" s="2" t="s">
        <v>40</v>
      </c>
      <c r="B285" s="2" t="n">
        <v>5</v>
      </c>
      <c r="C285" s="2" t="s">
        <v>30</v>
      </c>
      <c r="D285" s="2" t="s">
        <v>28</v>
      </c>
      <c r="E285" s="2" t="s">
        <v>16</v>
      </c>
      <c r="F285" s="2" t="s">
        <v>29</v>
      </c>
      <c r="G285" s="3" t="n">
        <v>2474</v>
      </c>
      <c r="H285" s="4" t="n">
        <v>93.6</v>
      </c>
      <c r="I285" s="4" t="n">
        <f aca="false">G285*H285</f>
        <v>231566.4</v>
      </c>
    </row>
    <row r="286" customFormat="false" ht="15" hidden="false" customHeight="false" outlineLevel="0" collapsed="false">
      <c r="A286" s="2" t="s">
        <v>40</v>
      </c>
      <c r="B286" s="2" t="n">
        <v>5</v>
      </c>
      <c r="C286" s="2" t="s">
        <v>31</v>
      </c>
      <c r="D286" s="2" t="s">
        <v>28</v>
      </c>
      <c r="E286" s="2" t="s">
        <v>12</v>
      </c>
      <c r="F286" s="2" t="s">
        <v>29</v>
      </c>
      <c r="G286" s="3" t="n">
        <v>6197</v>
      </c>
      <c r="H286" s="4" t="n">
        <v>85.5</v>
      </c>
      <c r="I286" s="4" t="n">
        <f aca="false">G286*H286</f>
        <v>529843.5</v>
      </c>
    </row>
    <row r="287" customFormat="false" ht="15" hidden="false" customHeight="false" outlineLevel="0" collapsed="false">
      <c r="A287" s="2" t="s">
        <v>40</v>
      </c>
      <c r="B287" s="2" t="n">
        <v>5</v>
      </c>
      <c r="C287" s="2" t="s">
        <v>31</v>
      </c>
      <c r="D287" s="2" t="s">
        <v>28</v>
      </c>
      <c r="E287" s="2" t="s">
        <v>14</v>
      </c>
      <c r="F287" s="2" t="s">
        <v>29</v>
      </c>
      <c r="G287" s="3" t="n">
        <v>2792</v>
      </c>
      <c r="H287" s="4" t="n">
        <v>99.75</v>
      </c>
      <c r="I287" s="4" t="n">
        <f aca="false">G287*H287</f>
        <v>278502</v>
      </c>
    </row>
    <row r="288" customFormat="false" ht="15" hidden="false" customHeight="false" outlineLevel="0" collapsed="false">
      <c r="A288" s="2" t="s">
        <v>40</v>
      </c>
      <c r="B288" s="2" t="n">
        <v>5</v>
      </c>
      <c r="C288" s="2" t="s">
        <v>31</v>
      </c>
      <c r="D288" s="2" t="s">
        <v>28</v>
      </c>
      <c r="E288" s="2" t="s">
        <v>15</v>
      </c>
      <c r="F288" s="2" t="s">
        <v>29</v>
      </c>
      <c r="G288" s="3" t="n">
        <v>3367</v>
      </c>
      <c r="H288" s="4" t="n">
        <v>95</v>
      </c>
      <c r="I288" s="4" t="n">
        <f aca="false">G288*H288</f>
        <v>319865</v>
      </c>
    </row>
    <row r="289" customFormat="false" ht="15" hidden="false" customHeight="false" outlineLevel="0" collapsed="false">
      <c r="A289" s="2" t="s">
        <v>40</v>
      </c>
      <c r="B289" s="2" t="n">
        <v>5</v>
      </c>
      <c r="C289" s="2" t="s">
        <v>31</v>
      </c>
      <c r="D289" s="2" t="s">
        <v>28</v>
      </c>
      <c r="E289" s="2" t="s">
        <v>16</v>
      </c>
      <c r="F289" s="2" t="s">
        <v>29</v>
      </c>
      <c r="G289" s="3" t="n">
        <v>3053</v>
      </c>
      <c r="H289" s="4" t="n">
        <v>74.1</v>
      </c>
      <c r="I289" s="4" t="n">
        <f aca="false">G289*H289</f>
        <v>226227.3</v>
      </c>
    </row>
    <row r="290" customFormat="false" ht="15" hidden="false" customHeight="false" outlineLevel="0" collapsed="false">
      <c r="A290" s="2" t="s">
        <v>40</v>
      </c>
      <c r="B290" s="2" t="n">
        <v>5</v>
      </c>
      <c r="C290" s="2" t="s">
        <v>32</v>
      </c>
      <c r="D290" s="2" t="s">
        <v>28</v>
      </c>
      <c r="E290" s="2" t="s">
        <v>12</v>
      </c>
      <c r="F290" s="2" t="s">
        <v>29</v>
      </c>
      <c r="G290" s="3" t="n">
        <v>9320</v>
      </c>
      <c r="H290" s="4" t="n">
        <v>61.2</v>
      </c>
      <c r="I290" s="4" t="n">
        <f aca="false">G290*H290</f>
        <v>570384</v>
      </c>
    </row>
    <row r="291" customFormat="false" ht="15" hidden="false" customHeight="false" outlineLevel="0" collapsed="false">
      <c r="A291" s="2" t="s">
        <v>40</v>
      </c>
      <c r="B291" s="2" t="n">
        <v>5</v>
      </c>
      <c r="C291" s="2" t="s">
        <v>32</v>
      </c>
      <c r="D291" s="2" t="s">
        <v>28</v>
      </c>
      <c r="E291" s="2" t="s">
        <v>14</v>
      </c>
      <c r="F291" s="2" t="s">
        <v>29</v>
      </c>
      <c r="G291" s="3" t="n">
        <v>3860</v>
      </c>
      <c r="H291" s="4" t="n">
        <v>71.4</v>
      </c>
      <c r="I291" s="4" t="n">
        <f aca="false">G291*H291</f>
        <v>275604</v>
      </c>
    </row>
    <row r="292" customFormat="false" ht="15" hidden="false" customHeight="false" outlineLevel="0" collapsed="false">
      <c r="A292" s="2" t="s">
        <v>40</v>
      </c>
      <c r="B292" s="2" t="n">
        <v>5</v>
      </c>
      <c r="C292" s="2" t="s">
        <v>32</v>
      </c>
      <c r="D292" s="2" t="s">
        <v>28</v>
      </c>
      <c r="E292" s="2" t="s">
        <v>15</v>
      </c>
      <c r="F292" s="2" t="s">
        <v>29</v>
      </c>
      <c r="G292" s="3" t="n">
        <v>4677</v>
      </c>
      <c r="H292" s="4" t="n">
        <v>68</v>
      </c>
      <c r="I292" s="4" t="n">
        <f aca="false">G292*H292</f>
        <v>318036</v>
      </c>
    </row>
    <row r="293" customFormat="false" ht="15" hidden="false" customHeight="false" outlineLevel="0" collapsed="false">
      <c r="A293" s="2" t="s">
        <v>40</v>
      </c>
      <c r="B293" s="2" t="n">
        <v>5</v>
      </c>
      <c r="C293" s="2" t="s">
        <v>32</v>
      </c>
      <c r="D293" s="2" t="s">
        <v>28</v>
      </c>
      <c r="E293" s="2" t="s">
        <v>16</v>
      </c>
      <c r="F293" s="2" t="s">
        <v>29</v>
      </c>
      <c r="G293" s="3" t="n">
        <v>4589</v>
      </c>
      <c r="H293" s="4" t="n">
        <v>53.04</v>
      </c>
      <c r="I293" s="4" t="n">
        <f aca="false">G293*H293</f>
        <v>243400.56</v>
      </c>
    </row>
    <row r="294" customFormat="false" ht="15" hidden="false" customHeight="false" outlineLevel="0" collapsed="false">
      <c r="A294" s="2" t="s">
        <v>40</v>
      </c>
      <c r="B294" s="2" t="n">
        <v>5</v>
      </c>
      <c r="C294" s="2" t="s">
        <v>33</v>
      </c>
      <c r="D294" s="2" t="s">
        <v>34</v>
      </c>
      <c r="E294" s="2" t="s">
        <v>12</v>
      </c>
      <c r="F294" s="2" t="s">
        <v>35</v>
      </c>
      <c r="G294" s="3" t="n">
        <v>11788</v>
      </c>
      <c r="H294" s="4" t="n">
        <v>31.5</v>
      </c>
      <c r="I294" s="4" t="n">
        <f aca="false">G294*H294</f>
        <v>371322</v>
      </c>
    </row>
    <row r="295" customFormat="false" ht="15" hidden="false" customHeight="false" outlineLevel="0" collapsed="false">
      <c r="A295" s="2" t="s">
        <v>40</v>
      </c>
      <c r="B295" s="2" t="n">
        <v>5</v>
      </c>
      <c r="C295" s="2" t="s">
        <v>33</v>
      </c>
      <c r="D295" s="2" t="s">
        <v>34</v>
      </c>
      <c r="E295" s="2" t="s">
        <v>14</v>
      </c>
      <c r="F295" s="2" t="s">
        <v>35</v>
      </c>
      <c r="G295" s="3" t="n">
        <v>4823</v>
      </c>
      <c r="H295" s="4" t="n">
        <v>36.75</v>
      </c>
      <c r="I295" s="4" t="n">
        <f aca="false">G295*H295</f>
        <v>177245.25</v>
      </c>
    </row>
    <row r="296" customFormat="false" ht="15" hidden="false" customHeight="false" outlineLevel="0" collapsed="false">
      <c r="A296" s="2" t="s">
        <v>40</v>
      </c>
      <c r="B296" s="2" t="n">
        <v>5</v>
      </c>
      <c r="C296" s="2" t="s">
        <v>33</v>
      </c>
      <c r="D296" s="2" t="s">
        <v>34</v>
      </c>
      <c r="E296" s="2" t="s">
        <v>15</v>
      </c>
      <c r="F296" s="2" t="s">
        <v>35</v>
      </c>
      <c r="G296" s="3" t="n">
        <v>5927</v>
      </c>
      <c r="H296" s="4" t="n">
        <v>35</v>
      </c>
      <c r="I296" s="4" t="n">
        <f aca="false">G296*H296</f>
        <v>207445</v>
      </c>
    </row>
    <row r="297" customFormat="false" ht="15" hidden="false" customHeight="false" outlineLevel="0" collapsed="false">
      <c r="A297" s="2" t="s">
        <v>40</v>
      </c>
      <c r="B297" s="2" t="n">
        <v>5</v>
      </c>
      <c r="C297" s="2" t="s">
        <v>33</v>
      </c>
      <c r="D297" s="2" t="s">
        <v>34</v>
      </c>
      <c r="E297" s="2" t="s">
        <v>16</v>
      </c>
      <c r="F297" s="2" t="s">
        <v>35</v>
      </c>
      <c r="G297" s="3" t="n">
        <v>5216</v>
      </c>
      <c r="H297" s="4" t="n">
        <v>27.3</v>
      </c>
      <c r="I297" s="4" t="n">
        <f aca="false">G297*H297</f>
        <v>142396.8</v>
      </c>
    </row>
    <row r="298" customFormat="false" ht="15" hidden="false" customHeight="false" outlineLevel="0" collapsed="false">
      <c r="A298" s="2" t="s">
        <v>40</v>
      </c>
      <c r="B298" s="2" t="n">
        <v>5</v>
      </c>
      <c r="C298" s="2" t="s">
        <v>36</v>
      </c>
      <c r="D298" s="2" t="s">
        <v>34</v>
      </c>
      <c r="E298" s="2" t="s">
        <v>12</v>
      </c>
      <c r="F298" s="2" t="s">
        <v>35</v>
      </c>
      <c r="G298" s="3" t="n">
        <v>8140</v>
      </c>
      <c r="H298" s="4" t="n">
        <v>39.6</v>
      </c>
      <c r="I298" s="4" t="n">
        <f aca="false">G298*H298</f>
        <v>322344</v>
      </c>
    </row>
    <row r="299" customFormat="false" ht="15" hidden="false" customHeight="false" outlineLevel="0" collapsed="false">
      <c r="A299" s="2" t="s">
        <v>40</v>
      </c>
      <c r="B299" s="2" t="n">
        <v>5</v>
      </c>
      <c r="C299" s="2" t="s">
        <v>36</v>
      </c>
      <c r="D299" s="2" t="s">
        <v>34</v>
      </c>
      <c r="E299" s="2" t="s">
        <v>14</v>
      </c>
      <c r="F299" s="2" t="s">
        <v>35</v>
      </c>
      <c r="G299" s="3" t="n">
        <v>3197</v>
      </c>
      <c r="H299" s="4" t="n">
        <v>46.2</v>
      </c>
      <c r="I299" s="4" t="n">
        <f aca="false">G299*H299</f>
        <v>147701.4</v>
      </c>
    </row>
    <row r="300" customFormat="false" ht="15" hidden="false" customHeight="false" outlineLevel="0" collapsed="false">
      <c r="A300" s="2" t="s">
        <v>40</v>
      </c>
      <c r="B300" s="2" t="n">
        <v>5</v>
      </c>
      <c r="C300" s="2" t="s">
        <v>36</v>
      </c>
      <c r="D300" s="2" t="s">
        <v>34</v>
      </c>
      <c r="E300" s="2" t="s">
        <v>15</v>
      </c>
      <c r="F300" s="2" t="s">
        <v>35</v>
      </c>
      <c r="G300" s="3" t="n">
        <v>3977</v>
      </c>
      <c r="H300" s="4" t="n">
        <v>44</v>
      </c>
      <c r="I300" s="4" t="n">
        <f aca="false">G300*H300</f>
        <v>174988</v>
      </c>
    </row>
    <row r="301" customFormat="false" ht="15" hidden="false" customHeight="false" outlineLevel="0" collapsed="false">
      <c r="A301" s="2" t="s">
        <v>40</v>
      </c>
      <c r="B301" s="2" t="n">
        <v>5</v>
      </c>
      <c r="C301" s="2" t="s">
        <v>36</v>
      </c>
      <c r="D301" s="2" t="s">
        <v>34</v>
      </c>
      <c r="E301" s="2" t="s">
        <v>16</v>
      </c>
      <c r="F301" s="2" t="s">
        <v>35</v>
      </c>
      <c r="G301" s="3" t="n">
        <v>3950</v>
      </c>
      <c r="H301" s="4" t="n">
        <v>34.32</v>
      </c>
      <c r="I301" s="4" t="n">
        <f aca="false">G301*H301</f>
        <v>135564</v>
      </c>
    </row>
    <row r="302" customFormat="false" ht="15" hidden="false" customHeight="false" outlineLevel="0" collapsed="false">
      <c r="A302" s="2" t="s">
        <v>41</v>
      </c>
      <c r="B302" s="2" t="n">
        <v>6</v>
      </c>
      <c r="C302" s="2" t="s">
        <v>10</v>
      </c>
      <c r="D302" s="2" t="s">
        <v>11</v>
      </c>
      <c r="E302" s="2" t="s">
        <v>12</v>
      </c>
      <c r="F302" s="2" t="s">
        <v>13</v>
      </c>
      <c r="G302" s="3" t="n">
        <v>26132</v>
      </c>
      <c r="H302" s="4" t="n">
        <v>37.8</v>
      </c>
      <c r="I302" s="4" t="n">
        <f aca="false">G302*H302</f>
        <v>987789.6</v>
      </c>
    </row>
    <row r="303" customFormat="false" ht="15" hidden="false" customHeight="false" outlineLevel="0" collapsed="false">
      <c r="A303" s="2" t="s">
        <v>41</v>
      </c>
      <c r="B303" s="2" t="n">
        <v>6</v>
      </c>
      <c r="C303" s="2" t="s">
        <v>10</v>
      </c>
      <c r="D303" s="2" t="s">
        <v>11</v>
      </c>
      <c r="E303" s="2" t="s">
        <v>14</v>
      </c>
      <c r="F303" s="2" t="s">
        <v>13</v>
      </c>
      <c r="G303" s="3" t="n">
        <v>11128</v>
      </c>
      <c r="H303" s="4" t="n">
        <v>44.1</v>
      </c>
      <c r="I303" s="4" t="n">
        <f aca="false">G303*H303</f>
        <v>490744.8</v>
      </c>
    </row>
    <row r="304" customFormat="false" ht="15" hidden="false" customHeight="false" outlineLevel="0" collapsed="false">
      <c r="A304" s="2" t="s">
        <v>41</v>
      </c>
      <c r="B304" s="2" t="n">
        <v>6</v>
      </c>
      <c r="C304" s="2" t="s">
        <v>10</v>
      </c>
      <c r="D304" s="2" t="s">
        <v>11</v>
      </c>
      <c r="E304" s="2" t="s">
        <v>15</v>
      </c>
      <c r="F304" s="2" t="s">
        <v>13</v>
      </c>
      <c r="G304" s="3" t="n">
        <v>14464</v>
      </c>
      <c r="H304" s="4" t="n">
        <v>42</v>
      </c>
      <c r="I304" s="4" t="n">
        <f aca="false">G304*H304</f>
        <v>607488</v>
      </c>
    </row>
    <row r="305" customFormat="false" ht="15" hidden="false" customHeight="false" outlineLevel="0" collapsed="false">
      <c r="A305" s="2" t="s">
        <v>41</v>
      </c>
      <c r="B305" s="2" t="n">
        <v>6</v>
      </c>
      <c r="C305" s="2" t="s">
        <v>10</v>
      </c>
      <c r="D305" s="2" t="s">
        <v>11</v>
      </c>
      <c r="E305" s="2" t="s">
        <v>16</v>
      </c>
      <c r="F305" s="2" t="s">
        <v>13</v>
      </c>
      <c r="G305" s="3" t="n">
        <v>14453</v>
      </c>
      <c r="H305" s="4" t="n">
        <v>32.76</v>
      </c>
      <c r="I305" s="4" t="n">
        <f aca="false">G305*H305</f>
        <v>473480.28</v>
      </c>
    </row>
    <row r="306" customFormat="false" ht="15" hidden="false" customHeight="false" outlineLevel="0" collapsed="false">
      <c r="A306" s="2" t="s">
        <v>41</v>
      </c>
      <c r="B306" s="2" t="n">
        <v>6</v>
      </c>
      <c r="C306" s="2" t="s">
        <v>17</v>
      </c>
      <c r="D306" s="2" t="s">
        <v>11</v>
      </c>
      <c r="E306" s="2" t="s">
        <v>12</v>
      </c>
      <c r="F306" s="2" t="s">
        <v>13</v>
      </c>
      <c r="G306" s="3" t="n">
        <v>17174</v>
      </c>
      <c r="H306" s="4" t="n">
        <v>34.2</v>
      </c>
      <c r="I306" s="4" t="n">
        <f aca="false">G306*H306</f>
        <v>587350.8</v>
      </c>
    </row>
    <row r="307" customFormat="false" ht="15" hidden="false" customHeight="false" outlineLevel="0" collapsed="false">
      <c r="A307" s="2" t="s">
        <v>41</v>
      </c>
      <c r="B307" s="2" t="n">
        <v>6</v>
      </c>
      <c r="C307" s="2" t="s">
        <v>17</v>
      </c>
      <c r="D307" s="2" t="s">
        <v>11</v>
      </c>
      <c r="E307" s="2" t="s">
        <v>14</v>
      </c>
      <c r="F307" s="2" t="s">
        <v>13</v>
      </c>
      <c r="G307" s="3" t="n">
        <v>8080</v>
      </c>
      <c r="H307" s="4" t="n">
        <v>39.9</v>
      </c>
      <c r="I307" s="4" t="n">
        <f aca="false">G307*H307</f>
        <v>322392</v>
      </c>
    </row>
    <row r="308" customFormat="false" ht="15" hidden="false" customHeight="false" outlineLevel="0" collapsed="false">
      <c r="A308" s="2" t="s">
        <v>41</v>
      </c>
      <c r="B308" s="2" t="n">
        <v>6</v>
      </c>
      <c r="C308" s="2" t="s">
        <v>17</v>
      </c>
      <c r="D308" s="2" t="s">
        <v>11</v>
      </c>
      <c r="E308" s="2" t="s">
        <v>15</v>
      </c>
      <c r="F308" s="2" t="s">
        <v>13</v>
      </c>
      <c r="G308" s="3" t="n">
        <v>9839</v>
      </c>
      <c r="H308" s="4" t="n">
        <v>38</v>
      </c>
      <c r="I308" s="4" t="n">
        <f aca="false">G308*H308</f>
        <v>373882</v>
      </c>
    </row>
    <row r="309" customFormat="false" ht="15" hidden="false" customHeight="false" outlineLevel="0" collapsed="false">
      <c r="A309" s="2" t="s">
        <v>41</v>
      </c>
      <c r="B309" s="2" t="n">
        <v>6</v>
      </c>
      <c r="C309" s="2" t="s">
        <v>17</v>
      </c>
      <c r="D309" s="2" t="s">
        <v>11</v>
      </c>
      <c r="E309" s="2" t="s">
        <v>16</v>
      </c>
      <c r="F309" s="2" t="s">
        <v>13</v>
      </c>
      <c r="G309" s="3" t="n">
        <v>9740</v>
      </c>
      <c r="H309" s="4" t="n">
        <v>29.64</v>
      </c>
      <c r="I309" s="4" t="n">
        <f aca="false">G309*H309</f>
        <v>288693.6</v>
      </c>
    </row>
    <row r="310" customFormat="false" ht="15" hidden="false" customHeight="false" outlineLevel="0" collapsed="false">
      <c r="A310" s="2" t="s">
        <v>41</v>
      </c>
      <c r="B310" s="2" t="n">
        <v>6</v>
      </c>
      <c r="C310" s="2" t="s">
        <v>18</v>
      </c>
      <c r="D310" s="2" t="s">
        <v>11</v>
      </c>
      <c r="E310" s="2" t="s">
        <v>12</v>
      </c>
      <c r="F310" s="2" t="s">
        <v>13</v>
      </c>
      <c r="G310" s="3" t="n">
        <v>10632</v>
      </c>
      <c r="H310" s="4" t="n">
        <v>49.5</v>
      </c>
      <c r="I310" s="4" t="n">
        <f aca="false">G310*H310</f>
        <v>526284</v>
      </c>
    </row>
    <row r="311" customFormat="false" ht="15" hidden="false" customHeight="false" outlineLevel="0" collapsed="false">
      <c r="A311" s="2" t="s">
        <v>41</v>
      </c>
      <c r="B311" s="2" t="n">
        <v>6</v>
      </c>
      <c r="C311" s="2" t="s">
        <v>18</v>
      </c>
      <c r="D311" s="2" t="s">
        <v>11</v>
      </c>
      <c r="E311" s="2" t="s">
        <v>14</v>
      </c>
      <c r="F311" s="2" t="s">
        <v>13</v>
      </c>
      <c r="G311" s="3" t="n">
        <v>4370</v>
      </c>
      <c r="H311" s="4" t="n">
        <v>57.75</v>
      </c>
      <c r="I311" s="4" t="n">
        <f aca="false">G311*H311</f>
        <v>252367.5</v>
      </c>
    </row>
    <row r="312" customFormat="false" ht="15" hidden="false" customHeight="false" outlineLevel="0" collapsed="false">
      <c r="A312" s="2" t="s">
        <v>41</v>
      </c>
      <c r="B312" s="2" t="n">
        <v>6</v>
      </c>
      <c r="C312" s="2" t="s">
        <v>18</v>
      </c>
      <c r="D312" s="2" t="s">
        <v>11</v>
      </c>
      <c r="E312" s="2" t="s">
        <v>15</v>
      </c>
      <c r="F312" s="2" t="s">
        <v>13</v>
      </c>
      <c r="G312" s="3" t="n">
        <v>5252</v>
      </c>
      <c r="H312" s="4" t="n">
        <v>55</v>
      </c>
      <c r="I312" s="4" t="n">
        <f aca="false">G312*H312</f>
        <v>288860</v>
      </c>
    </row>
    <row r="313" customFormat="false" ht="15" hidden="false" customHeight="false" outlineLevel="0" collapsed="false">
      <c r="A313" s="2" t="s">
        <v>41</v>
      </c>
      <c r="B313" s="2" t="n">
        <v>6</v>
      </c>
      <c r="C313" s="2" t="s">
        <v>18</v>
      </c>
      <c r="D313" s="2" t="s">
        <v>11</v>
      </c>
      <c r="E313" s="2" t="s">
        <v>16</v>
      </c>
      <c r="F313" s="2" t="s">
        <v>13</v>
      </c>
      <c r="G313" s="3" t="n">
        <v>5222</v>
      </c>
      <c r="H313" s="4" t="n">
        <v>42.9</v>
      </c>
      <c r="I313" s="4" t="n">
        <f aca="false">G313*H313</f>
        <v>224023.8</v>
      </c>
    </row>
    <row r="314" customFormat="false" ht="15" hidden="false" customHeight="false" outlineLevel="0" collapsed="false">
      <c r="A314" s="2" t="s">
        <v>41</v>
      </c>
      <c r="B314" s="2" t="n">
        <v>6</v>
      </c>
      <c r="C314" s="2" t="s">
        <v>19</v>
      </c>
      <c r="D314" s="2" t="s">
        <v>20</v>
      </c>
      <c r="E314" s="2" t="s">
        <v>12</v>
      </c>
      <c r="F314" s="2" t="s">
        <v>13</v>
      </c>
      <c r="G314" s="3" t="n">
        <v>21851</v>
      </c>
      <c r="H314" s="4" t="n">
        <v>23.4</v>
      </c>
      <c r="I314" s="4" t="n">
        <f aca="false">G314*H314</f>
        <v>511313.4</v>
      </c>
    </row>
    <row r="315" customFormat="false" ht="15" hidden="false" customHeight="false" outlineLevel="0" collapsed="false">
      <c r="A315" s="2" t="s">
        <v>41</v>
      </c>
      <c r="B315" s="2" t="n">
        <v>6</v>
      </c>
      <c r="C315" s="2" t="s">
        <v>19</v>
      </c>
      <c r="D315" s="2" t="s">
        <v>20</v>
      </c>
      <c r="E315" s="2" t="s">
        <v>14</v>
      </c>
      <c r="F315" s="2" t="s">
        <v>13</v>
      </c>
      <c r="G315" s="3" t="n">
        <v>9352</v>
      </c>
      <c r="H315" s="4" t="n">
        <v>27.3</v>
      </c>
      <c r="I315" s="4" t="n">
        <f aca="false">G315*H315</f>
        <v>255309.6</v>
      </c>
    </row>
    <row r="316" customFormat="false" ht="15" hidden="false" customHeight="false" outlineLevel="0" collapsed="false">
      <c r="A316" s="2" t="s">
        <v>41</v>
      </c>
      <c r="B316" s="2" t="n">
        <v>6</v>
      </c>
      <c r="C316" s="2" t="s">
        <v>19</v>
      </c>
      <c r="D316" s="2" t="s">
        <v>20</v>
      </c>
      <c r="E316" s="2" t="s">
        <v>15</v>
      </c>
      <c r="F316" s="2" t="s">
        <v>13</v>
      </c>
      <c r="G316" s="3" t="n">
        <v>11453</v>
      </c>
      <c r="H316" s="4" t="n">
        <v>26</v>
      </c>
      <c r="I316" s="4" t="n">
        <f aca="false">G316*H316</f>
        <v>297778</v>
      </c>
    </row>
    <row r="317" customFormat="false" ht="15" hidden="false" customHeight="false" outlineLevel="0" collapsed="false">
      <c r="A317" s="2" t="s">
        <v>41</v>
      </c>
      <c r="B317" s="2" t="n">
        <v>6</v>
      </c>
      <c r="C317" s="2" t="s">
        <v>19</v>
      </c>
      <c r="D317" s="2" t="s">
        <v>20</v>
      </c>
      <c r="E317" s="2" t="s">
        <v>16</v>
      </c>
      <c r="F317" s="2" t="s">
        <v>13</v>
      </c>
      <c r="G317" s="3" t="n">
        <v>10773</v>
      </c>
      <c r="H317" s="4" t="n">
        <v>20.28</v>
      </c>
      <c r="I317" s="4" t="n">
        <f aca="false">G317*H317</f>
        <v>218476.44</v>
      </c>
    </row>
    <row r="318" customFormat="false" ht="15" hidden="false" customHeight="false" outlineLevel="0" collapsed="false">
      <c r="A318" s="2" t="s">
        <v>41</v>
      </c>
      <c r="B318" s="2" t="n">
        <v>6</v>
      </c>
      <c r="C318" s="2" t="s">
        <v>21</v>
      </c>
      <c r="D318" s="2" t="s">
        <v>20</v>
      </c>
      <c r="E318" s="2" t="s">
        <v>12</v>
      </c>
      <c r="F318" s="2" t="s">
        <v>22</v>
      </c>
      <c r="G318" s="3" t="n">
        <v>23852</v>
      </c>
      <c r="H318" s="4" t="n">
        <v>12.6</v>
      </c>
      <c r="I318" s="4" t="n">
        <f aca="false">G318*H318</f>
        <v>300535.2</v>
      </c>
    </row>
    <row r="319" customFormat="false" ht="15" hidden="false" customHeight="false" outlineLevel="0" collapsed="false">
      <c r="A319" s="2" t="s">
        <v>41</v>
      </c>
      <c r="B319" s="2" t="n">
        <v>6</v>
      </c>
      <c r="C319" s="2" t="s">
        <v>21</v>
      </c>
      <c r="D319" s="2" t="s">
        <v>20</v>
      </c>
      <c r="E319" s="2" t="s">
        <v>14</v>
      </c>
      <c r="F319" s="2" t="s">
        <v>22</v>
      </c>
      <c r="G319" s="3" t="n">
        <v>10630</v>
      </c>
      <c r="H319" s="4" t="n">
        <v>14.7</v>
      </c>
      <c r="I319" s="4" t="n">
        <f aca="false">G319*H319</f>
        <v>156261</v>
      </c>
    </row>
    <row r="320" customFormat="false" ht="15" hidden="false" customHeight="false" outlineLevel="0" collapsed="false">
      <c r="A320" s="2" t="s">
        <v>41</v>
      </c>
      <c r="B320" s="2" t="n">
        <v>6</v>
      </c>
      <c r="C320" s="2" t="s">
        <v>21</v>
      </c>
      <c r="D320" s="2" t="s">
        <v>20</v>
      </c>
      <c r="E320" s="2" t="s">
        <v>15</v>
      </c>
      <c r="F320" s="2" t="s">
        <v>22</v>
      </c>
      <c r="G320" s="3" t="n">
        <v>12324</v>
      </c>
      <c r="H320" s="4" t="n">
        <v>14</v>
      </c>
      <c r="I320" s="4" t="n">
        <f aca="false">G320*H320</f>
        <v>172536</v>
      </c>
    </row>
    <row r="321" customFormat="false" ht="15" hidden="false" customHeight="false" outlineLevel="0" collapsed="false">
      <c r="A321" s="2" t="s">
        <v>41</v>
      </c>
      <c r="B321" s="2" t="n">
        <v>6</v>
      </c>
      <c r="C321" s="2" t="s">
        <v>21</v>
      </c>
      <c r="D321" s="2" t="s">
        <v>20</v>
      </c>
      <c r="E321" s="2" t="s">
        <v>16</v>
      </c>
      <c r="F321" s="2" t="s">
        <v>22</v>
      </c>
      <c r="G321" s="3" t="n">
        <v>12917</v>
      </c>
      <c r="H321" s="4" t="n">
        <v>10.92</v>
      </c>
      <c r="I321" s="4" t="n">
        <f aca="false">G321*H321</f>
        <v>141053.64</v>
      </c>
    </row>
    <row r="322" customFormat="false" ht="15" hidden="false" customHeight="false" outlineLevel="0" collapsed="false">
      <c r="A322" s="2" t="s">
        <v>41</v>
      </c>
      <c r="B322" s="2" t="n">
        <v>6</v>
      </c>
      <c r="C322" s="2" t="s">
        <v>23</v>
      </c>
      <c r="D322" s="2" t="s">
        <v>20</v>
      </c>
      <c r="E322" s="2" t="s">
        <v>12</v>
      </c>
      <c r="F322" s="2" t="s">
        <v>13</v>
      </c>
      <c r="G322" s="3" t="n">
        <v>8153</v>
      </c>
      <c r="H322" s="4" t="n">
        <v>27.9</v>
      </c>
      <c r="I322" s="4" t="n">
        <f aca="false">G322*H322</f>
        <v>227468.7</v>
      </c>
    </row>
    <row r="323" customFormat="false" ht="15" hidden="false" customHeight="false" outlineLevel="0" collapsed="false">
      <c r="A323" s="2" t="s">
        <v>41</v>
      </c>
      <c r="B323" s="2" t="n">
        <v>6</v>
      </c>
      <c r="C323" s="2" t="s">
        <v>23</v>
      </c>
      <c r="D323" s="2" t="s">
        <v>20</v>
      </c>
      <c r="E323" s="2" t="s">
        <v>14</v>
      </c>
      <c r="F323" s="2" t="s">
        <v>13</v>
      </c>
      <c r="G323" s="3" t="n">
        <v>3642</v>
      </c>
      <c r="H323" s="4" t="n">
        <v>32.55</v>
      </c>
      <c r="I323" s="4" t="n">
        <f aca="false">G323*H323</f>
        <v>118547.1</v>
      </c>
    </row>
    <row r="324" customFormat="false" ht="15" hidden="false" customHeight="false" outlineLevel="0" collapsed="false">
      <c r="A324" s="2" t="s">
        <v>41</v>
      </c>
      <c r="B324" s="2" t="n">
        <v>6</v>
      </c>
      <c r="C324" s="2" t="s">
        <v>23</v>
      </c>
      <c r="D324" s="2" t="s">
        <v>20</v>
      </c>
      <c r="E324" s="2" t="s">
        <v>15</v>
      </c>
      <c r="F324" s="2" t="s">
        <v>13</v>
      </c>
      <c r="G324" s="3" t="n">
        <v>4263</v>
      </c>
      <c r="H324" s="4" t="n">
        <v>31</v>
      </c>
      <c r="I324" s="4" t="n">
        <f aca="false">G324*H324</f>
        <v>132153</v>
      </c>
    </row>
    <row r="325" customFormat="false" ht="15" hidden="false" customHeight="false" outlineLevel="0" collapsed="false">
      <c r="A325" s="2" t="s">
        <v>41</v>
      </c>
      <c r="B325" s="2" t="n">
        <v>6</v>
      </c>
      <c r="C325" s="2" t="s">
        <v>23</v>
      </c>
      <c r="D325" s="2" t="s">
        <v>20</v>
      </c>
      <c r="E325" s="2" t="s">
        <v>16</v>
      </c>
      <c r="F325" s="2" t="s">
        <v>13</v>
      </c>
      <c r="G325" s="3" t="n">
        <v>4392</v>
      </c>
      <c r="H325" s="4" t="n">
        <v>24.18</v>
      </c>
      <c r="I325" s="4" t="n">
        <f aca="false">G325*H325</f>
        <v>106198.56</v>
      </c>
    </row>
    <row r="326" customFormat="false" ht="15" hidden="false" customHeight="false" outlineLevel="0" collapsed="false">
      <c r="A326" s="2" t="s">
        <v>41</v>
      </c>
      <c r="B326" s="2" t="n">
        <v>6</v>
      </c>
      <c r="C326" s="2" t="s">
        <v>24</v>
      </c>
      <c r="D326" s="2" t="s">
        <v>20</v>
      </c>
      <c r="E326" s="2" t="s">
        <v>12</v>
      </c>
      <c r="F326" s="2" t="s">
        <v>22</v>
      </c>
      <c r="G326" s="3" t="n">
        <v>29760</v>
      </c>
      <c r="H326" s="4" t="n">
        <v>10.8</v>
      </c>
      <c r="I326" s="4" t="n">
        <f aca="false">G326*H326</f>
        <v>321408</v>
      </c>
    </row>
    <row r="327" customFormat="false" ht="15" hidden="false" customHeight="false" outlineLevel="0" collapsed="false">
      <c r="A327" s="2" t="s">
        <v>41</v>
      </c>
      <c r="B327" s="2" t="n">
        <v>6</v>
      </c>
      <c r="C327" s="2" t="s">
        <v>24</v>
      </c>
      <c r="D327" s="2" t="s">
        <v>20</v>
      </c>
      <c r="E327" s="2" t="s">
        <v>14</v>
      </c>
      <c r="F327" s="2" t="s">
        <v>22</v>
      </c>
      <c r="G327" s="3" t="n">
        <v>12602</v>
      </c>
      <c r="H327" s="4" t="n">
        <v>12.6</v>
      </c>
      <c r="I327" s="4" t="n">
        <f aca="false">G327*H327</f>
        <v>158785.2</v>
      </c>
    </row>
    <row r="328" customFormat="false" ht="15" hidden="false" customHeight="false" outlineLevel="0" collapsed="false">
      <c r="A328" s="2" t="s">
        <v>41</v>
      </c>
      <c r="B328" s="2" t="n">
        <v>6</v>
      </c>
      <c r="C328" s="2" t="s">
        <v>24</v>
      </c>
      <c r="D328" s="2" t="s">
        <v>20</v>
      </c>
      <c r="E328" s="2" t="s">
        <v>15</v>
      </c>
      <c r="F328" s="2" t="s">
        <v>22</v>
      </c>
      <c r="G328" s="3" t="n">
        <v>15952</v>
      </c>
      <c r="H328" s="4" t="n">
        <v>12</v>
      </c>
      <c r="I328" s="4" t="n">
        <f aca="false">G328*H328</f>
        <v>191424</v>
      </c>
    </row>
    <row r="329" customFormat="false" ht="15" hidden="false" customHeight="false" outlineLevel="0" collapsed="false">
      <c r="A329" s="2" t="s">
        <v>41</v>
      </c>
      <c r="B329" s="2" t="n">
        <v>6</v>
      </c>
      <c r="C329" s="2" t="s">
        <v>24</v>
      </c>
      <c r="D329" s="2" t="s">
        <v>20</v>
      </c>
      <c r="E329" s="2" t="s">
        <v>16</v>
      </c>
      <c r="F329" s="2" t="s">
        <v>22</v>
      </c>
      <c r="G329" s="3" t="n">
        <v>15213</v>
      </c>
      <c r="H329" s="4" t="n">
        <v>9.36</v>
      </c>
      <c r="I329" s="4" t="n">
        <f aca="false">G329*H329</f>
        <v>142393.68</v>
      </c>
    </row>
    <row r="330" customFormat="false" ht="15" hidden="false" customHeight="false" outlineLevel="0" collapsed="false">
      <c r="A330" s="2" t="s">
        <v>41</v>
      </c>
      <c r="B330" s="2" t="n">
        <v>6</v>
      </c>
      <c r="C330" s="2" t="s">
        <v>25</v>
      </c>
      <c r="D330" s="2" t="s">
        <v>20</v>
      </c>
      <c r="E330" s="2" t="s">
        <v>12</v>
      </c>
      <c r="F330" s="2" t="s">
        <v>22</v>
      </c>
      <c r="G330" s="3" t="n">
        <v>40926</v>
      </c>
      <c r="H330" s="4" t="n">
        <v>8.1</v>
      </c>
      <c r="I330" s="4" t="n">
        <f aca="false">G330*H330</f>
        <v>331500.6</v>
      </c>
    </row>
    <row r="331" customFormat="false" ht="15" hidden="false" customHeight="false" outlineLevel="0" collapsed="false">
      <c r="A331" s="2" t="s">
        <v>41</v>
      </c>
      <c r="B331" s="2" t="n">
        <v>6</v>
      </c>
      <c r="C331" s="2" t="s">
        <v>25</v>
      </c>
      <c r="D331" s="2" t="s">
        <v>20</v>
      </c>
      <c r="E331" s="2" t="s">
        <v>14</v>
      </c>
      <c r="F331" s="2" t="s">
        <v>22</v>
      </c>
      <c r="G331" s="3" t="n">
        <v>16649</v>
      </c>
      <c r="H331" s="4" t="n">
        <v>9.45</v>
      </c>
      <c r="I331" s="4" t="n">
        <f aca="false">G331*H331</f>
        <v>157333.05</v>
      </c>
    </row>
    <row r="332" customFormat="false" ht="15" hidden="false" customHeight="false" outlineLevel="0" collapsed="false">
      <c r="A332" s="2" t="s">
        <v>41</v>
      </c>
      <c r="B332" s="2" t="n">
        <v>6</v>
      </c>
      <c r="C332" s="2" t="s">
        <v>25</v>
      </c>
      <c r="D332" s="2" t="s">
        <v>20</v>
      </c>
      <c r="E332" s="2" t="s">
        <v>15</v>
      </c>
      <c r="F332" s="2" t="s">
        <v>22</v>
      </c>
      <c r="G332" s="3" t="n">
        <v>21688</v>
      </c>
      <c r="H332" s="4" t="n">
        <v>9</v>
      </c>
      <c r="I332" s="4" t="n">
        <f aca="false">G332*H332</f>
        <v>195192</v>
      </c>
    </row>
    <row r="333" customFormat="false" ht="15" hidden="false" customHeight="false" outlineLevel="0" collapsed="false">
      <c r="A333" s="2" t="s">
        <v>41</v>
      </c>
      <c r="B333" s="2" t="n">
        <v>6</v>
      </c>
      <c r="C333" s="2" t="s">
        <v>25</v>
      </c>
      <c r="D333" s="2" t="s">
        <v>20</v>
      </c>
      <c r="E333" s="2" t="s">
        <v>16</v>
      </c>
      <c r="F333" s="2" t="s">
        <v>22</v>
      </c>
      <c r="G333" s="3" t="n">
        <v>21361</v>
      </c>
      <c r="H333" s="4" t="n">
        <v>7.02</v>
      </c>
      <c r="I333" s="4" t="n">
        <f aca="false">G333*H333</f>
        <v>149954.22</v>
      </c>
    </row>
    <row r="334" customFormat="false" ht="15" hidden="false" customHeight="false" outlineLevel="0" collapsed="false">
      <c r="A334" s="2" t="s">
        <v>41</v>
      </c>
      <c r="B334" s="2" t="n">
        <v>6</v>
      </c>
      <c r="C334" s="2" t="s">
        <v>26</v>
      </c>
      <c r="D334" s="2" t="s">
        <v>20</v>
      </c>
      <c r="E334" s="2" t="s">
        <v>12</v>
      </c>
      <c r="F334" s="2" t="s">
        <v>22</v>
      </c>
      <c r="G334" s="3" t="n">
        <v>23656</v>
      </c>
      <c r="H334" s="4" t="n">
        <v>14.4</v>
      </c>
      <c r="I334" s="4" t="n">
        <f aca="false">G334*H334</f>
        <v>340646.4</v>
      </c>
    </row>
    <row r="335" customFormat="false" ht="15" hidden="false" customHeight="false" outlineLevel="0" collapsed="false">
      <c r="A335" s="2" t="s">
        <v>41</v>
      </c>
      <c r="B335" s="2" t="n">
        <v>6</v>
      </c>
      <c r="C335" s="2" t="s">
        <v>26</v>
      </c>
      <c r="D335" s="2" t="s">
        <v>20</v>
      </c>
      <c r="E335" s="2" t="s">
        <v>14</v>
      </c>
      <c r="F335" s="2" t="s">
        <v>22</v>
      </c>
      <c r="G335" s="3" t="n">
        <v>10395</v>
      </c>
      <c r="H335" s="4" t="n">
        <v>16.8</v>
      </c>
      <c r="I335" s="4" t="n">
        <f aca="false">G335*H335</f>
        <v>174636</v>
      </c>
    </row>
    <row r="336" customFormat="false" ht="15" hidden="false" customHeight="false" outlineLevel="0" collapsed="false">
      <c r="A336" s="2" t="s">
        <v>41</v>
      </c>
      <c r="B336" s="2" t="n">
        <v>6</v>
      </c>
      <c r="C336" s="2" t="s">
        <v>26</v>
      </c>
      <c r="D336" s="2" t="s">
        <v>20</v>
      </c>
      <c r="E336" s="2" t="s">
        <v>15</v>
      </c>
      <c r="F336" s="2" t="s">
        <v>22</v>
      </c>
      <c r="G336" s="3" t="n">
        <v>11683</v>
      </c>
      <c r="H336" s="4" t="n">
        <v>16</v>
      </c>
      <c r="I336" s="4" t="n">
        <f aca="false">G336*H336</f>
        <v>186928</v>
      </c>
    </row>
    <row r="337" customFormat="false" ht="15" hidden="false" customHeight="false" outlineLevel="0" collapsed="false">
      <c r="A337" s="2" t="s">
        <v>41</v>
      </c>
      <c r="B337" s="2" t="n">
        <v>6</v>
      </c>
      <c r="C337" s="2" t="s">
        <v>26</v>
      </c>
      <c r="D337" s="2" t="s">
        <v>20</v>
      </c>
      <c r="E337" s="2" t="s">
        <v>16</v>
      </c>
      <c r="F337" s="2" t="s">
        <v>22</v>
      </c>
      <c r="G337" s="3" t="n">
        <v>12376</v>
      </c>
      <c r="H337" s="4" t="n">
        <v>12.48</v>
      </c>
      <c r="I337" s="4" t="n">
        <f aca="false">G337*H337</f>
        <v>154452.48</v>
      </c>
    </row>
    <row r="338" customFormat="false" ht="15" hidden="false" customHeight="false" outlineLevel="0" collapsed="false">
      <c r="A338" s="2" t="s">
        <v>41</v>
      </c>
      <c r="B338" s="2" t="n">
        <v>6</v>
      </c>
      <c r="C338" s="2" t="s">
        <v>27</v>
      </c>
      <c r="D338" s="2" t="s">
        <v>28</v>
      </c>
      <c r="E338" s="2" t="s">
        <v>12</v>
      </c>
      <c r="F338" s="2" t="s">
        <v>29</v>
      </c>
      <c r="G338" s="3" t="n">
        <v>15068</v>
      </c>
      <c r="H338" s="4" t="n">
        <v>43.2</v>
      </c>
      <c r="I338" s="4" t="n">
        <f aca="false">G338*H338</f>
        <v>650937.6</v>
      </c>
    </row>
    <row r="339" customFormat="false" ht="15" hidden="false" customHeight="false" outlineLevel="0" collapsed="false">
      <c r="A339" s="2" t="s">
        <v>41</v>
      </c>
      <c r="B339" s="2" t="n">
        <v>6</v>
      </c>
      <c r="C339" s="2" t="s">
        <v>27</v>
      </c>
      <c r="D339" s="2" t="s">
        <v>28</v>
      </c>
      <c r="E339" s="2" t="s">
        <v>14</v>
      </c>
      <c r="F339" s="2" t="s">
        <v>29</v>
      </c>
      <c r="G339" s="3" t="n">
        <v>6283</v>
      </c>
      <c r="H339" s="4" t="n">
        <v>50.4</v>
      </c>
      <c r="I339" s="4" t="n">
        <f aca="false">G339*H339</f>
        <v>316663.2</v>
      </c>
    </row>
    <row r="340" customFormat="false" ht="15" hidden="false" customHeight="false" outlineLevel="0" collapsed="false">
      <c r="A340" s="2" t="s">
        <v>41</v>
      </c>
      <c r="B340" s="2" t="n">
        <v>6</v>
      </c>
      <c r="C340" s="2" t="s">
        <v>27</v>
      </c>
      <c r="D340" s="2" t="s">
        <v>28</v>
      </c>
      <c r="E340" s="2" t="s">
        <v>15</v>
      </c>
      <c r="F340" s="2" t="s">
        <v>29</v>
      </c>
      <c r="G340" s="3" t="n">
        <v>7538</v>
      </c>
      <c r="H340" s="4" t="n">
        <v>48</v>
      </c>
      <c r="I340" s="4" t="n">
        <f aca="false">G340*H340</f>
        <v>361824</v>
      </c>
    </row>
    <row r="341" customFormat="false" ht="15" hidden="false" customHeight="false" outlineLevel="0" collapsed="false">
      <c r="A341" s="2" t="s">
        <v>41</v>
      </c>
      <c r="B341" s="2" t="n">
        <v>6</v>
      </c>
      <c r="C341" s="2" t="s">
        <v>27</v>
      </c>
      <c r="D341" s="2" t="s">
        <v>28</v>
      </c>
      <c r="E341" s="2" t="s">
        <v>16</v>
      </c>
      <c r="F341" s="2" t="s">
        <v>29</v>
      </c>
      <c r="G341" s="3" t="n">
        <v>8117</v>
      </c>
      <c r="H341" s="4" t="n">
        <v>37.44</v>
      </c>
      <c r="I341" s="4" t="n">
        <f aca="false">G341*H341</f>
        <v>303900.48</v>
      </c>
    </row>
    <row r="342" customFormat="false" ht="15" hidden="false" customHeight="false" outlineLevel="0" collapsed="false">
      <c r="A342" s="2" t="s">
        <v>41</v>
      </c>
      <c r="B342" s="2" t="n">
        <v>6</v>
      </c>
      <c r="C342" s="2" t="s">
        <v>30</v>
      </c>
      <c r="D342" s="2" t="s">
        <v>28</v>
      </c>
      <c r="E342" s="2" t="s">
        <v>12</v>
      </c>
      <c r="F342" s="2" t="s">
        <v>29</v>
      </c>
      <c r="G342" s="3" t="n">
        <v>5035</v>
      </c>
      <c r="H342" s="4" t="n">
        <v>108</v>
      </c>
      <c r="I342" s="4" t="n">
        <f aca="false">G342*H342</f>
        <v>543780</v>
      </c>
    </row>
    <row r="343" customFormat="false" ht="15" hidden="false" customHeight="false" outlineLevel="0" collapsed="false">
      <c r="A343" s="2" t="s">
        <v>41</v>
      </c>
      <c r="B343" s="2" t="n">
        <v>6</v>
      </c>
      <c r="C343" s="2" t="s">
        <v>30</v>
      </c>
      <c r="D343" s="2" t="s">
        <v>28</v>
      </c>
      <c r="E343" s="2" t="s">
        <v>14</v>
      </c>
      <c r="F343" s="2" t="s">
        <v>29</v>
      </c>
      <c r="G343" s="3" t="n">
        <v>2156</v>
      </c>
      <c r="H343" s="4" t="n">
        <v>126</v>
      </c>
      <c r="I343" s="4" t="n">
        <f aca="false">G343*H343</f>
        <v>271656</v>
      </c>
    </row>
    <row r="344" customFormat="false" ht="15" hidden="false" customHeight="false" outlineLevel="0" collapsed="false">
      <c r="A344" s="2" t="s">
        <v>41</v>
      </c>
      <c r="B344" s="2" t="n">
        <v>6</v>
      </c>
      <c r="C344" s="2" t="s">
        <v>30</v>
      </c>
      <c r="D344" s="2" t="s">
        <v>28</v>
      </c>
      <c r="E344" s="2" t="s">
        <v>15</v>
      </c>
      <c r="F344" s="2" t="s">
        <v>29</v>
      </c>
      <c r="G344" s="3" t="n">
        <v>2923</v>
      </c>
      <c r="H344" s="4" t="n">
        <v>120</v>
      </c>
      <c r="I344" s="4" t="n">
        <f aca="false">G344*H344</f>
        <v>350760</v>
      </c>
    </row>
    <row r="345" customFormat="false" ht="15" hidden="false" customHeight="false" outlineLevel="0" collapsed="false">
      <c r="A345" s="2" t="s">
        <v>41</v>
      </c>
      <c r="B345" s="2" t="n">
        <v>6</v>
      </c>
      <c r="C345" s="2" t="s">
        <v>30</v>
      </c>
      <c r="D345" s="2" t="s">
        <v>28</v>
      </c>
      <c r="E345" s="2" t="s">
        <v>16</v>
      </c>
      <c r="F345" s="2" t="s">
        <v>29</v>
      </c>
      <c r="G345" s="3" t="n">
        <v>2851</v>
      </c>
      <c r="H345" s="4" t="n">
        <v>93.6</v>
      </c>
      <c r="I345" s="4" t="n">
        <f aca="false">G345*H345</f>
        <v>266853.6</v>
      </c>
    </row>
    <row r="346" customFormat="false" ht="15" hidden="false" customHeight="false" outlineLevel="0" collapsed="false">
      <c r="A346" s="2" t="s">
        <v>41</v>
      </c>
      <c r="B346" s="2" t="n">
        <v>6</v>
      </c>
      <c r="C346" s="2" t="s">
        <v>31</v>
      </c>
      <c r="D346" s="2" t="s">
        <v>28</v>
      </c>
      <c r="E346" s="2" t="s">
        <v>12</v>
      </c>
      <c r="F346" s="2" t="s">
        <v>29</v>
      </c>
      <c r="G346" s="3" t="n">
        <v>6769</v>
      </c>
      <c r="H346" s="4" t="n">
        <v>85.5</v>
      </c>
      <c r="I346" s="4" t="n">
        <f aca="false">G346*H346</f>
        <v>578749.5</v>
      </c>
    </row>
    <row r="347" customFormat="false" ht="15" hidden="false" customHeight="false" outlineLevel="0" collapsed="false">
      <c r="A347" s="2" t="s">
        <v>41</v>
      </c>
      <c r="B347" s="2" t="n">
        <v>6</v>
      </c>
      <c r="C347" s="2" t="s">
        <v>31</v>
      </c>
      <c r="D347" s="2" t="s">
        <v>28</v>
      </c>
      <c r="E347" s="2" t="s">
        <v>14</v>
      </c>
      <c r="F347" s="2" t="s">
        <v>29</v>
      </c>
      <c r="G347" s="3" t="n">
        <v>2966</v>
      </c>
      <c r="H347" s="4" t="n">
        <v>99.75</v>
      </c>
      <c r="I347" s="4" t="n">
        <f aca="false">G347*H347</f>
        <v>295858.5</v>
      </c>
    </row>
    <row r="348" customFormat="false" ht="15" hidden="false" customHeight="false" outlineLevel="0" collapsed="false">
      <c r="A348" s="2" t="s">
        <v>41</v>
      </c>
      <c r="B348" s="2" t="n">
        <v>6</v>
      </c>
      <c r="C348" s="2" t="s">
        <v>31</v>
      </c>
      <c r="D348" s="2" t="s">
        <v>28</v>
      </c>
      <c r="E348" s="2" t="s">
        <v>15</v>
      </c>
      <c r="F348" s="2" t="s">
        <v>29</v>
      </c>
      <c r="G348" s="3" t="n">
        <v>3653</v>
      </c>
      <c r="H348" s="4" t="n">
        <v>95</v>
      </c>
      <c r="I348" s="4" t="n">
        <f aca="false">G348*H348</f>
        <v>347035</v>
      </c>
    </row>
    <row r="349" customFormat="false" ht="15" hidden="false" customHeight="false" outlineLevel="0" collapsed="false">
      <c r="A349" s="2" t="s">
        <v>41</v>
      </c>
      <c r="B349" s="2" t="n">
        <v>6</v>
      </c>
      <c r="C349" s="2" t="s">
        <v>31</v>
      </c>
      <c r="D349" s="2" t="s">
        <v>28</v>
      </c>
      <c r="E349" s="2" t="s">
        <v>16</v>
      </c>
      <c r="F349" s="2" t="s">
        <v>29</v>
      </c>
      <c r="G349" s="3" t="n">
        <v>3443</v>
      </c>
      <c r="H349" s="4" t="n">
        <v>74.1</v>
      </c>
      <c r="I349" s="4" t="n">
        <f aca="false">G349*H349</f>
        <v>255126.3</v>
      </c>
    </row>
    <row r="350" customFormat="false" ht="15" hidden="false" customHeight="false" outlineLevel="0" collapsed="false">
      <c r="A350" s="2" t="s">
        <v>41</v>
      </c>
      <c r="B350" s="2" t="n">
        <v>6</v>
      </c>
      <c r="C350" s="2" t="s">
        <v>32</v>
      </c>
      <c r="D350" s="2" t="s">
        <v>28</v>
      </c>
      <c r="E350" s="2" t="s">
        <v>12</v>
      </c>
      <c r="F350" s="2" t="s">
        <v>29</v>
      </c>
      <c r="G350" s="3" t="n">
        <v>9588</v>
      </c>
      <c r="H350" s="4" t="n">
        <v>61.2</v>
      </c>
      <c r="I350" s="4" t="n">
        <f aca="false">G350*H350</f>
        <v>586785.6</v>
      </c>
    </row>
    <row r="351" customFormat="false" ht="15" hidden="false" customHeight="false" outlineLevel="0" collapsed="false">
      <c r="A351" s="2" t="s">
        <v>41</v>
      </c>
      <c r="B351" s="2" t="n">
        <v>6</v>
      </c>
      <c r="C351" s="2" t="s">
        <v>32</v>
      </c>
      <c r="D351" s="2" t="s">
        <v>28</v>
      </c>
      <c r="E351" s="2" t="s">
        <v>14</v>
      </c>
      <c r="F351" s="2" t="s">
        <v>29</v>
      </c>
      <c r="G351" s="3" t="n">
        <v>4092</v>
      </c>
      <c r="H351" s="4" t="n">
        <v>71.4</v>
      </c>
      <c r="I351" s="4" t="n">
        <f aca="false">G351*H351</f>
        <v>292168.8</v>
      </c>
    </row>
    <row r="352" customFormat="false" ht="15" hidden="false" customHeight="false" outlineLevel="0" collapsed="false">
      <c r="A352" s="2" t="s">
        <v>41</v>
      </c>
      <c r="B352" s="2" t="n">
        <v>6</v>
      </c>
      <c r="C352" s="2" t="s">
        <v>32</v>
      </c>
      <c r="D352" s="2" t="s">
        <v>28</v>
      </c>
      <c r="E352" s="2" t="s">
        <v>15</v>
      </c>
      <c r="F352" s="2" t="s">
        <v>29</v>
      </c>
      <c r="G352" s="3" t="n">
        <v>5156</v>
      </c>
      <c r="H352" s="4" t="n">
        <v>68</v>
      </c>
      <c r="I352" s="4" t="n">
        <f aca="false">G352*H352</f>
        <v>350608</v>
      </c>
    </row>
    <row r="353" customFormat="false" ht="15" hidden="false" customHeight="false" outlineLevel="0" collapsed="false">
      <c r="A353" s="2" t="s">
        <v>41</v>
      </c>
      <c r="B353" s="2" t="n">
        <v>6</v>
      </c>
      <c r="C353" s="2" t="s">
        <v>32</v>
      </c>
      <c r="D353" s="2" t="s">
        <v>28</v>
      </c>
      <c r="E353" s="2" t="s">
        <v>16</v>
      </c>
      <c r="F353" s="2" t="s">
        <v>29</v>
      </c>
      <c r="G353" s="3" t="n">
        <v>4626</v>
      </c>
      <c r="H353" s="4" t="n">
        <v>53.04</v>
      </c>
      <c r="I353" s="4" t="n">
        <f aca="false">G353*H353</f>
        <v>245363.04</v>
      </c>
    </row>
    <row r="354" customFormat="false" ht="15" hidden="false" customHeight="false" outlineLevel="0" collapsed="false">
      <c r="A354" s="2" t="s">
        <v>41</v>
      </c>
      <c r="B354" s="2" t="n">
        <v>6</v>
      </c>
      <c r="C354" s="2" t="s">
        <v>33</v>
      </c>
      <c r="D354" s="2" t="s">
        <v>34</v>
      </c>
      <c r="E354" s="2" t="s">
        <v>12</v>
      </c>
      <c r="F354" s="2" t="s">
        <v>35</v>
      </c>
      <c r="G354" s="3" t="n">
        <v>12221</v>
      </c>
      <c r="H354" s="4" t="n">
        <v>31.5</v>
      </c>
      <c r="I354" s="4" t="n">
        <f aca="false">G354*H354</f>
        <v>384961.5</v>
      </c>
    </row>
    <row r="355" customFormat="false" ht="15" hidden="false" customHeight="false" outlineLevel="0" collapsed="false">
      <c r="A355" s="2" t="s">
        <v>41</v>
      </c>
      <c r="B355" s="2" t="n">
        <v>6</v>
      </c>
      <c r="C355" s="2" t="s">
        <v>33</v>
      </c>
      <c r="D355" s="2" t="s">
        <v>34</v>
      </c>
      <c r="E355" s="2" t="s">
        <v>14</v>
      </c>
      <c r="F355" s="2" t="s">
        <v>35</v>
      </c>
      <c r="G355" s="3" t="n">
        <v>4680</v>
      </c>
      <c r="H355" s="4" t="n">
        <v>36.75</v>
      </c>
      <c r="I355" s="4" t="n">
        <f aca="false">G355*H355</f>
        <v>171990</v>
      </c>
    </row>
    <row r="356" customFormat="false" ht="15" hidden="false" customHeight="false" outlineLevel="0" collapsed="false">
      <c r="A356" s="2" t="s">
        <v>41</v>
      </c>
      <c r="B356" s="2" t="n">
        <v>6</v>
      </c>
      <c r="C356" s="2" t="s">
        <v>33</v>
      </c>
      <c r="D356" s="2" t="s">
        <v>34</v>
      </c>
      <c r="E356" s="2" t="s">
        <v>15</v>
      </c>
      <c r="F356" s="2" t="s">
        <v>35</v>
      </c>
      <c r="G356" s="3" t="n">
        <v>5771</v>
      </c>
      <c r="H356" s="4" t="n">
        <v>35</v>
      </c>
      <c r="I356" s="4" t="n">
        <f aca="false">G356*H356</f>
        <v>201985</v>
      </c>
    </row>
    <row r="357" customFormat="false" ht="15" hidden="false" customHeight="false" outlineLevel="0" collapsed="false">
      <c r="A357" s="2" t="s">
        <v>41</v>
      </c>
      <c r="B357" s="2" t="n">
        <v>6</v>
      </c>
      <c r="C357" s="2" t="s">
        <v>33</v>
      </c>
      <c r="D357" s="2" t="s">
        <v>34</v>
      </c>
      <c r="E357" s="2" t="s">
        <v>16</v>
      </c>
      <c r="F357" s="2" t="s">
        <v>35</v>
      </c>
      <c r="G357" s="3" t="n">
        <v>5971</v>
      </c>
      <c r="H357" s="4" t="n">
        <v>27.3</v>
      </c>
      <c r="I357" s="4" t="n">
        <f aca="false">G357*H357</f>
        <v>163008.3</v>
      </c>
    </row>
    <row r="358" customFormat="false" ht="15" hidden="false" customHeight="false" outlineLevel="0" collapsed="false">
      <c r="A358" s="2" t="s">
        <v>41</v>
      </c>
      <c r="B358" s="2" t="n">
        <v>6</v>
      </c>
      <c r="C358" s="2" t="s">
        <v>36</v>
      </c>
      <c r="D358" s="2" t="s">
        <v>34</v>
      </c>
      <c r="E358" s="2" t="s">
        <v>12</v>
      </c>
      <c r="F358" s="2" t="s">
        <v>35</v>
      </c>
      <c r="G358" s="3" t="n">
        <v>8479</v>
      </c>
      <c r="H358" s="4" t="n">
        <v>39.6</v>
      </c>
      <c r="I358" s="4" t="n">
        <f aca="false">G358*H358</f>
        <v>335768.4</v>
      </c>
    </row>
    <row r="359" customFormat="false" ht="15" hidden="false" customHeight="false" outlineLevel="0" collapsed="false">
      <c r="A359" s="2" t="s">
        <v>41</v>
      </c>
      <c r="B359" s="2" t="n">
        <v>6</v>
      </c>
      <c r="C359" s="2" t="s">
        <v>36</v>
      </c>
      <c r="D359" s="2" t="s">
        <v>34</v>
      </c>
      <c r="E359" s="2" t="s">
        <v>14</v>
      </c>
      <c r="F359" s="2" t="s">
        <v>35</v>
      </c>
      <c r="G359" s="3" t="n">
        <v>3638</v>
      </c>
      <c r="H359" s="4" t="n">
        <v>46.2</v>
      </c>
      <c r="I359" s="4" t="n">
        <f aca="false">G359*H359</f>
        <v>168075.6</v>
      </c>
    </row>
    <row r="360" customFormat="false" ht="15" hidden="false" customHeight="false" outlineLevel="0" collapsed="false">
      <c r="A360" s="2" t="s">
        <v>41</v>
      </c>
      <c r="B360" s="2" t="n">
        <v>6</v>
      </c>
      <c r="C360" s="2" t="s">
        <v>36</v>
      </c>
      <c r="D360" s="2" t="s">
        <v>34</v>
      </c>
      <c r="E360" s="2" t="s">
        <v>15</v>
      </c>
      <c r="F360" s="2" t="s">
        <v>35</v>
      </c>
      <c r="G360" s="3" t="n">
        <v>4278</v>
      </c>
      <c r="H360" s="4" t="n">
        <v>44</v>
      </c>
      <c r="I360" s="4" t="n">
        <f aca="false">G360*H360</f>
        <v>188232</v>
      </c>
    </row>
    <row r="361" customFormat="false" ht="15" hidden="false" customHeight="false" outlineLevel="0" collapsed="false">
      <c r="A361" s="2" t="s">
        <v>41</v>
      </c>
      <c r="B361" s="2" t="n">
        <v>6</v>
      </c>
      <c r="C361" s="2" t="s">
        <v>36</v>
      </c>
      <c r="D361" s="2" t="s">
        <v>34</v>
      </c>
      <c r="E361" s="2" t="s">
        <v>16</v>
      </c>
      <c r="F361" s="2" t="s">
        <v>35</v>
      </c>
      <c r="G361" s="3" t="n">
        <v>4050</v>
      </c>
      <c r="H361" s="4" t="n">
        <v>34.32</v>
      </c>
      <c r="I361" s="4" t="n">
        <f aca="false">G361*H361</f>
        <v>138996</v>
      </c>
    </row>
    <row r="362" customFormat="false" ht="15" hidden="false" customHeight="false" outlineLevel="0" collapsed="false">
      <c r="A362" s="2" t="s">
        <v>42</v>
      </c>
      <c r="B362" s="2" t="n">
        <v>7</v>
      </c>
      <c r="C362" s="2" t="s">
        <v>10</v>
      </c>
      <c r="D362" s="2" t="s">
        <v>11</v>
      </c>
      <c r="E362" s="2" t="s">
        <v>12</v>
      </c>
      <c r="F362" s="2" t="s">
        <v>13</v>
      </c>
      <c r="G362" s="3" t="n">
        <v>4408</v>
      </c>
      <c r="H362" s="4" t="n">
        <v>37.8</v>
      </c>
      <c r="I362" s="4" t="n">
        <f aca="false">G362*H362</f>
        <v>166622.4</v>
      </c>
    </row>
    <row r="363" customFormat="false" ht="15" hidden="false" customHeight="false" outlineLevel="0" collapsed="false">
      <c r="A363" s="2" t="s">
        <v>42</v>
      </c>
      <c r="B363" s="2" t="n">
        <v>7</v>
      </c>
      <c r="C363" s="2" t="s">
        <v>10</v>
      </c>
      <c r="D363" s="2" t="s">
        <v>11</v>
      </c>
      <c r="E363" s="2" t="s">
        <v>14</v>
      </c>
      <c r="F363" s="2" t="s">
        <v>13</v>
      </c>
      <c r="G363" s="3" t="n">
        <v>11670</v>
      </c>
      <c r="H363" s="4" t="n">
        <v>44.1</v>
      </c>
      <c r="I363" s="4" t="n">
        <f aca="false">G363*H363</f>
        <v>514647</v>
      </c>
    </row>
    <row r="364" customFormat="false" ht="15" hidden="false" customHeight="false" outlineLevel="0" collapsed="false">
      <c r="A364" s="2" t="s">
        <v>42</v>
      </c>
      <c r="B364" s="2" t="n">
        <v>7</v>
      </c>
      <c r="C364" s="2" t="s">
        <v>10</v>
      </c>
      <c r="D364" s="2" t="s">
        <v>11</v>
      </c>
      <c r="E364" s="2" t="s">
        <v>15</v>
      </c>
      <c r="F364" s="2" t="s">
        <v>13</v>
      </c>
      <c r="G364" s="3" t="n">
        <v>13425</v>
      </c>
      <c r="H364" s="4" t="n">
        <v>42</v>
      </c>
      <c r="I364" s="4" t="n">
        <f aca="false">G364*H364</f>
        <v>563850</v>
      </c>
    </row>
    <row r="365" customFormat="false" ht="15" hidden="false" customHeight="false" outlineLevel="0" collapsed="false">
      <c r="A365" s="2" t="s">
        <v>42</v>
      </c>
      <c r="B365" s="2" t="n">
        <v>7</v>
      </c>
      <c r="C365" s="2" t="s">
        <v>10</v>
      </c>
      <c r="D365" s="2" t="s">
        <v>11</v>
      </c>
      <c r="E365" s="2" t="s">
        <v>16</v>
      </c>
      <c r="F365" s="2" t="s">
        <v>13</v>
      </c>
      <c r="G365" s="3" t="n">
        <v>13765</v>
      </c>
      <c r="H365" s="4" t="n">
        <v>32.76</v>
      </c>
      <c r="I365" s="4" t="n">
        <f aca="false">G365*H365</f>
        <v>450941.4</v>
      </c>
    </row>
    <row r="366" customFormat="false" ht="15" hidden="false" customHeight="false" outlineLevel="0" collapsed="false">
      <c r="A366" s="2" t="s">
        <v>42</v>
      </c>
      <c r="B366" s="2" t="n">
        <v>7</v>
      </c>
      <c r="C366" s="2" t="s">
        <v>17</v>
      </c>
      <c r="D366" s="2" t="s">
        <v>11</v>
      </c>
      <c r="E366" s="2" t="s">
        <v>12</v>
      </c>
      <c r="F366" s="2" t="s">
        <v>13</v>
      </c>
      <c r="G366" s="3" t="n">
        <v>17652</v>
      </c>
      <c r="H366" s="4" t="n">
        <v>34.2</v>
      </c>
      <c r="I366" s="4" t="n">
        <f aca="false">G366*H366</f>
        <v>603698.4</v>
      </c>
    </row>
    <row r="367" customFormat="false" ht="15" hidden="false" customHeight="false" outlineLevel="0" collapsed="false">
      <c r="A367" s="2" t="s">
        <v>42</v>
      </c>
      <c r="B367" s="2" t="n">
        <v>7</v>
      </c>
      <c r="C367" s="2" t="s">
        <v>17</v>
      </c>
      <c r="D367" s="2" t="s">
        <v>11</v>
      </c>
      <c r="E367" s="2" t="s">
        <v>14</v>
      </c>
      <c r="F367" s="2" t="s">
        <v>13</v>
      </c>
      <c r="G367" s="3" t="n">
        <v>7369</v>
      </c>
      <c r="H367" s="4" t="n">
        <v>39.9</v>
      </c>
      <c r="I367" s="4" t="n">
        <f aca="false">G367*H367</f>
        <v>294023.1</v>
      </c>
    </row>
    <row r="368" customFormat="false" ht="15" hidden="false" customHeight="false" outlineLevel="0" collapsed="false">
      <c r="A368" s="2" t="s">
        <v>42</v>
      </c>
      <c r="B368" s="2" t="n">
        <v>7</v>
      </c>
      <c r="C368" s="2" t="s">
        <v>17</v>
      </c>
      <c r="D368" s="2" t="s">
        <v>11</v>
      </c>
      <c r="E368" s="2" t="s">
        <v>15</v>
      </c>
      <c r="F368" s="2" t="s">
        <v>13</v>
      </c>
      <c r="G368" s="3" t="n">
        <v>8482</v>
      </c>
      <c r="H368" s="4" t="n">
        <v>38</v>
      </c>
      <c r="I368" s="4" t="n">
        <f aca="false">G368*H368</f>
        <v>322316</v>
      </c>
    </row>
    <row r="369" customFormat="false" ht="15" hidden="false" customHeight="false" outlineLevel="0" collapsed="false">
      <c r="A369" s="2" t="s">
        <v>42</v>
      </c>
      <c r="B369" s="2" t="n">
        <v>7</v>
      </c>
      <c r="C369" s="2" t="s">
        <v>17</v>
      </c>
      <c r="D369" s="2" t="s">
        <v>11</v>
      </c>
      <c r="E369" s="2" t="s">
        <v>16</v>
      </c>
      <c r="F369" s="2" t="s">
        <v>13</v>
      </c>
      <c r="G369" s="3" t="n">
        <v>9847</v>
      </c>
      <c r="H369" s="4" t="n">
        <v>29.64</v>
      </c>
      <c r="I369" s="4" t="n">
        <f aca="false">G369*H369</f>
        <v>291865.08</v>
      </c>
    </row>
    <row r="370" customFormat="false" ht="15" hidden="false" customHeight="false" outlineLevel="0" collapsed="false">
      <c r="A370" s="2" t="s">
        <v>42</v>
      </c>
      <c r="B370" s="2" t="n">
        <v>7</v>
      </c>
      <c r="C370" s="2" t="s">
        <v>18</v>
      </c>
      <c r="D370" s="2" t="s">
        <v>11</v>
      </c>
      <c r="E370" s="2" t="s">
        <v>12</v>
      </c>
      <c r="F370" s="2" t="s">
        <v>13</v>
      </c>
      <c r="G370" s="3" t="n">
        <v>9699</v>
      </c>
      <c r="H370" s="4" t="n">
        <v>49.5</v>
      </c>
      <c r="I370" s="4" t="n">
        <f aca="false">G370*H370</f>
        <v>480100.5</v>
      </c>
    </row>
    <row r="371" customFormat="false" ht="15" hidden="false" customHeight="false" outlineLevel="0" collapsed="false">
      <c r="A371" s="2" t="s">
        <v>42</v>
      </c>
      <c r="B371" s="2" t="n">
        <v>7</v>
      </c>
      <c r="C371" s="2" t="s">
        <v>18</v>
      </c>
      <c r="D371" s="2" t="s">
        <v>11</v>
      </c>
      <c r="E371" s="2" t="s">
        <v>14</v>
      </c>
      <c r="F371" s="2" t="s">
        <v>13</v>
      </c>
      <c r="G371" s="3" t="n">
        <v>4094</v>
      </c>
      <c r="H371" s="4" t="n">
        <v>57.75</v>
      </c>
      <c r="I371" s="4" t="n">
        <f aca="false">G371*H371</f>
        <v>236428.5</v>
      </c>
    </row>
    <row r="372" customFormat="false" ht="15" hidden="false" customHeight="false" outlineLevel="0" collapsed="false">
      <c r="A372" s="2" t="s">
        <v>42</v>
      </c>
      <c r="B372" s="2" t="n">
        <v>7</v>
      </c>
      <c r="C372" s="2" t="s">
        <v>18</v>
      </c>
      <c r="D372" s="2" t="s">
        <v>11</v>
      </c>
      <c r="E372" s="2" t="s">
        <v>15</v>
      </c>
      <c r="F372" s="2" t="s">
        <v>13</v>
      </c>
      <c r="G372" s="3" t="n">
        <v>4946</v>
      </c>
      <c r="H372" s="4" t="n">
        <v>55</v>
      </c>
      <c r="I372" s="4" t="n">
        <f aca="false">G372*H372</f>
        <v>272030</v>
      </c>
    </row>
    <row r="373" customFormat="false" ht="15" hidden="false" customHeight="false" outlineLevel="0" collapsed="false">
      <c r="A373" s="2" t="s">
        <v>42</v>
      </c>
      <c r="B373" s="2" t="n">
        <v>7</v>
      </c>
      <c r="C373" s="2" t="s">
        <v>18</v>
      </c>
      <c r="D373" s="2" t="s">
        <v>11</v>
      </c>
      <c r="E373" s="2" t="s">
        <v>16</v>
      </c>
      <c r="F373" s="2" t="s">
        <v>13</v>
      </c>
      <c r="G373" s="3" t="n">
        <v>5194</v>
      </c>
      <c r="H373" s="4" t="n">
        <v>42.9</v>
      </c>
      <c r="I373" s="4" t="n">
        <f aca="false">G373*H373</f>
        <v>222822.6</v>
      </c>
    </row>
    <row r="374" customFormat="false" ht="15" hidden="false" customHeight="false" outlineLevel="0" collapsed="false">
      <c r="A374" s="2" t="s">
        <v>42</v>
      </c>
      <c r="B374" s="2" t="n">
        <v>7</v>
      </c>
      <c r="C374" s="2" t="s">
        <v>19</v>
      </c>
      <c r="D374" s="2" t="s">
        <v>20</v>
      </c>
      <c r="E374" s="2" t="s">
        <v>12</v>
      </c>
      <c r="F374" s="2" t="s">
        <v>13</v>
      </c>
      <c r="G374" s="3" t="n">
        <v>20671</v>
      </c>
      <c r="H374" s="4" t="n">
        <v>23.4</v>
      </c>
      <c r="I374" s="4" t="n">
        <f aca="false">G374*H374</f>
        <v>483701.4</v>
      </c>
    </row>
    <row r="375" customFormat="false" ht="15" hidden="false" customHeight="false" outlineLevel="0" collapsed="false">
      <c r="A375" s="2" t="s">
        <v>42</v>
      </c>
      <c r="B375" s="2" t="n">
        <v>7</v>
      </c>
      <c r="C375" s="2" t="s">
        <v>19</v>
      </c>
      <c r="D375" s="2" t="s">
        <v>20</v>
      </c>
      <c r="E375" s="2" t="s">
        <v>14</v>
      </c>
      <c r="F375" s="2" t="s">
        <v>13</v>
      </c>
      <c r="G375" s="3" t="n">
        <v>8183</v>
      </c>
      <c r="H375" s="4" t="n">
        <v>27.3</v>
      </c>
      <c r="I375" s="4" t="n">
        <f aca="false">G375*H375</f>
        <v>223395.9</v>
      </c>
    </row>
    <row r="376" customFormat="false" ht="15" hidden="false" customHeight="false" outlineLevel="0" collapsed="false">
      <c r="A376" s="2" t="s">
        <v>42</v>
      </c>
      <c r="B376" s="2" t="n">
        <v>7</v>
      </c>
      <c r="C376" s="2" t="s">
        <v>19</v>
      </c>
      <c r="D376" s="2" t="s">
        <v>20</v>
      </c>
      <c r="E376" s="2" t="s">
        <v>15</v>
      </c>
      <c r="F376" s="2" t="s">
        <v>13</v>
      </c>
      <c r="G376" s="3" t="n">
        <v>10940</v>
      </c>
      <c r="H376" s="4" t="n">
        <v>26</v>
      </c>
      <c r="I376" s="4" t="n">
        <f aca="false">G376*H376</f>
        <v>284440</v>
      </c>
    </row>
    <row r="377" customFormat="false" ht="15" hidden="false" customHeight="false" outlineLevel="0" collapsed="false">
      <c r="A377" s="2" t="s">
        <v>42</v>
      </c>
      <c r="B377" s="2" t="n">
        <v>7</v>
      </c>
      <c r="C377" s="2" t="s">
        <v>19</v>
      </c>
      <c r="D377" s="2" t="s">
        <v>20</v>
      </c>
      <c r="E377" s="2" t="s">
        <v>16</v>
      </c>
      <c r="F377" s="2" t="s">
        <v>13</v>
      </c>
      <c r="G377" s="3" t="n">
        <v>11386</v>
      </c>
      <c r="H377" s="4" t="n">
        <v>20.28</v>
      </c>
      <c r="I377" s="4" t="n">
        <f aca="false">G377*H377</f>
        <v>230908.08</v>
      </c>
    </row>
    <row r="378" customFormat="false" ht="15" hidden="false" customHeight="false" outlineLevel="0" collapsed="false">
      <c r="A378" s="2" t="s">
        <v>42</v>
      </c>
      <c r="B378" s="2" t="n">
        <v>7</v>
      </c>
      <c r="C378" s="2" t="s">
        <v>21</v>
      </c>
      <c r="D378" s="2" t="s">
        <v>20</v>
      </c>
      <c r="E378" s="2" t="s">
        <v>12</v>
      </c>
      <c r="F378" s="2" t="s">
        <v>22</v>
      </c>
      <c r="G378" s="3" t="n">
        <v>22109</v>
      </c>
      <c r="H378" s="4" t="n">
        <v>12.6</v>
      </c>
      <c r="I378" s="4" t="n">
        <f aca="false">G378*H378</f>
        <v>278573.4</v>
      </c>
    </row>
    <row r="379" customFormat="false" ht="15" hidden="false" customHeight="false" outlineLevel="0" collapsed="false">
      <c r="A379" s="2" t="s">
        <v>42</v>
      </c>
      <c r="B379" s="2" t="n">
        <v>7</v>
      </c>
      <c r="C379" s="2" t="s">
        <v>21</v>
      </c>
      <c r="D379" s="2" t="s">
        <v>20</v>
      </c>
      <c r="E379" s="2" t="s">
        <v>14</v>
      </c>
      <c r="F379" s="2" t="s">
        <v>22</v>
      </c>
      <c r="G379" s="3" t="n">
        <v>10320</v>
      </c>
      <c r="H379" s="4" t="n">
        <v>14.7</v>
      </c>
      <c r="I379" s="4" t="n">
        <f aca="false">G379*H379</f>
        <v>151704</v>
      </c>
    </row>
    <row r="380" customFormat="false" ht="15" hidden="false" customHeight="false" outlineLevel="0" collapsed="false">
      <c r="A380" s="2" t="s">
        <v>42</v>
      </c>
      <c r="B380" s="2" t="n">
        <v>7</v>
      </c>
      <c r="C380" s="2" t="s">
        <v>21</v>
      </c>
      <c r="D380" s="2" t="s">
        <v>20</v>
      </c>
      <c r="E380" s="2" t="s">
        <v>15</v>
      </c>
      <c r="F380" s="2" t="s">
        <v>22</v>
      </c>
      <c r="G380" s="3" t="n">
        <v>12087</v>
      </c>
      <c r="H380" s="4" t="n">
        <v>14</v>
      </c>
      <c r="I380" s="4" t="n">
        <f aca="false">G380*H380</f>
        <v>169218</v>
      </c>
    </row>
    <row r="381" customFormat="false" ht="15" hidden="false" customHeight="false" outlineLevel="0" collapsed="false">
      <c r="A381" s="2" t="s">
        <v>42</v>
      </c>
      <c r="B381" s="2" t="n">
        <v>7</v>
      </c>
      <c r="C381" s="2" t="s">
        <v>21</v>
      </c>
      <c r="D381" s="2" t="s">
        <v>20</v>
      </c>
      <c r="E381" s="2" t="s">
        <v>16</v>
      </c>
      <c r="F381" s="2" t="s">
        <v>22</v>
      </c>
      <c r="G381" s="3" t="n">
        <v>13103</v>
      </c>
      <c r="H381" s="4" t="n">
        <v>10.92</v>
      </c>
      <c r="I381" s="4" t="n">
        <f aca="false">G381*H381</f>
        <v>143084.76</v>
      </c>
    </row>
    <row r="382" customFormat="false" ht="15" hidden="false" customHeight="false" outlineLevel="0" collapsed="false">
      <c r="A382" s="2" t="s">
        <v>42</v>
      </c>
      <c r="B382" s="2" t="n">
        <v>7</v>
      </c>
      <c r="C382" s="2" t="s">
        <v>23</v>
      </c>
      <c r="D382" s="2" t="s">
        <v>20</v>
      </c>
      <c r="E382" s="2" t="s">
        <v>12</v>
      </c>
      <c r="F382" s="2" t="s">
        <v>13</v>
      </c>
      <c r="G382" s="3" t="n">
        <v>8225</v>
      </c>
      <c r="H382" s="4" t="n">
        <v>27.9</v>
      </c>
      <c r="I382" s="4" t="n">
        <f aca="false">G382*H382</f>
        <v>229477.5</v>
      </c>
    </row>
    <row r="383" customFormat="false" ht="15" hidden="false" customHeight="false" outlineLevel="0" collapsed="false">
      <c r="A383" s="2" t="s">
        <v>42</v>
      </c>
      <c r="B383" s="2" t="n">
        <v>7</v>
      </c>
      <c r="C383" s="2" t="s">
        <v>23</v>
      </c>
      <c r="D383" s="2" t="s">
        <v>20</v>
      </c>
      <c r="E383" s="2" t="s">
        <v>14</v>
      </c>
      <c r="F383" s="2" t="s">
        <v>13</v>
      </c>
      <c r="G383" s="3" t="n">
        <v>3340</v>
      </c>
      <c r="H383" s="4" t="n">
        <v>32.55</v>
      </c>
      <c r="I383" s="4" t="n">
        <f aca="false">G383*H383</f>
        <v>108717</v>
      </c>
    </row>
    <row r="384" customFormat="false" ht="15" hidden="false" customHeight="false" outlineLevel="0" collapsed="false">
      <c r="A384" s="2" t="s">
        <v>42</v>
      </c>
      <c r="B384" s="2" t="n">
        <v>7</v>
      </c>
      <c r="C384" s="2" t="s">
        <v>23</v>
      </c>
      <c r="D384" s="2" t="s">
        <v>20</v>
      </c>
      <c r="E384" s="2" t="s">
        <v>15</v>
      </c>
      <c r="F384" s="2" t="s">
        <v>13</v>
      </c>
      <c r="G384" s="3" t="n">
        <v>4299</v>
      </c>
      <c r="H384" s="4" t="n">
        <v>31</v>
      </c>
      <c r="I384" s="4" t="n">
        <f aca="false">G384*H384</f>
        <v>133269</v>
      </c>
    </row>
    <row r="385" customFormat="false" ht="15" hidden="false" customHeight="false" outlineLevel="0" collapsed="false">
      <c r="A385" s="2" t="s">
        <v>42</v>
      </c>
      <c r="B385" s="2" t="n">
        <v>7</v>
      </c>
      <c r="C385" s="2" t="s">
        <v>23</v>
      </c>
      <c r="D385" s="2" t="s">
        <v>20</v>
      </c>
      <c r="E385" s="2" t="s">
        <v>16</v>
      </c>
      <c r="F385" s="2" t="s">
        <v>13</v>
      </c>
      <c r="G385" s="3" t="n">
        <v>4396</v>
      </c>
      <c r="H385" s="4" t="n">
        <v>24.18</v>
      </c>
      <c r="I385" s="4" t="n">
        <f aca="false">G385*H385</f>
        <v>106295.28</v>
      </c>
    </row>
    <row r="386" customFormat="false" ht="15" hidden="false" customHeight="false" outlineLevel="0" collapsed="false">
      <c r="A386" s="2" t="s">
        <v>42</v>
      </c>
      <c r="B386" s="2" t="n">
        <v>7</v>
      </c>
      <c r="C386" s="2" t="s">
        <v>24</v>
      </c>
      <c r="D386" s="2" t="s">
        <v>20</v>
      </c>
      <c r="E386" s="2" t="s">
        <v>12</v>
      </c>
      <c r="F386" s="2" t="s">
        <v>22</v>
      </c>
      <c r="G386" s="3" t="n">
        <v>29460</v>
      </c>
      <c r="H386" s="4" t="n">
        <v>10.8</v>
      </c>
      <c r="I386" s="4" t="n">
        <f aca="false">G386*H386</f>
        <v>318168</v>
      </c>
    </row>
    <row r="387" customFormat="false" ht="15" hidden="false" customHeight="false" outlineLevel="0" collapsed="false">
      <c r="A387" s="2" t="s">
        <v>42</v>
      </c>
      <c r="B387" s="2" t="n">
        <v>7</v>
      </c>
      <c r="C387" s="2" t="s">
        <v>24</v>
      </c>
      <c r="D387" s="2" t="s">
        <v>20</v>
      </c>
      <c r="E387" s="2" t="s">
        <v>14</v>
      </c>
      <c r="F387" s="2" t="s">
        <v>22</v>
      </c>
      <c r="G387" s="3" t="n">
        <v>11654</v>
      </c>
      <c r="H387" s="4" t="n">
        <v>12.6</v>
      </c>
      <c r="I387" s="4" t="n">
        <f aca="false">G387*H387</f>
        <v>146840.4</v>
      </c>
    </row>
    <row r="388" customFormat="false" ht="15" hidden="false" customHeight="false" outlineLevel="0" collapsed="false">
      <c r="A388" s="2" t="s">
        <v>42</v>
      </c>
      <c r="B388" s="2" t="n">
        <v>7</v>
      </c>
      <c r="C388" s="2" t="s">
        <v>24</v>
      </c>
      <c r="D388" s="2" t="s">
        <v>20</v>
      </c>
      <c r="E388" s="2" t="s">
        <v>15</v>
      </c>
      <c r="F388" s="2" t="s">
        <v>22</v>
      </c>
      <c r="G388" s="3" t="n">
        <v>14691</v>
      </c>
      <c r="H388" s="4" t="n">
        <v>12</v>
      </c>
      <c r="I388" s="4" t="n">
        <f aca="false">G388*H388</f>
        <v>176292</v>
      </c>
    </row>
    <row r="389" customFormat="false" ht="15" hidden="false" customHeight="false" outlineLevel="0" collapsed="false">
      <c r="A389" s="2" t="s">
        <v>42</v>
      </c>
      <c r="B389" s="2" t="n">
        <v>7</v>
      </c>
      <c r="C389" s="2" t="s">
        <v>24</v>
      </c>
      <c r="D389" s="2" t="s">
        <v>20</v>
      </c>
      <c r="E389" s="2" t="s">
        <v>16</v>
      </c>
      <c r="F389" s="2" t="s">
        <v>22</v>
      </c>
      <c r="G389" s="3" t="n">
        <v>15210</v>
      </c>
      <c r="H389" s="4" t="n">
        <v>9.36</v>
      </c>
      <c r="I389" s="4" t="n">
        <f aca="false">G389*H389</f>
        <v>142365.6</v>
      </c>
    </row>
    <row r="390" customFormat="false" ht="15" hidden="false" customHeight="false" outlineLevel="0" collapsed="false">
      <c r="A390" s="2" t="s">
        <v>42</v>
      </c>
      <c r="B390" s="2" t="n">
        <v>7</v>
      </c>
      <c r="C390" s="2" t="s">
        <v>25</v>
      </c>
      <c r="D390" s="2" t="s">
        <v>20</v>
      </c>
      <c r="E390" s="2" t="s">
        <v>12</v>
      </c>
      <c r="F390" s="2" t="s">
        <v>22</v>
      </c>
      <c r="G390" s="3" t="n">
        <v>36987</v>
      </c>
      <c r="H390" s="4" t="n">
        <v>8.1</v>
      </c>
      <c r="I390" s="4" t="n">
        <f aca="false">G390*H390</f>
        <v>299594.7</v>
      </c>
    </row>
    <row r="391" customFormat="false" ht="15" hidden="false" customHeight="false" outlineLevel="0" collapsed="false">
      <c r="A391" s="2" t="s">
        <v>42</v>
      </c>
      <c r="B391" s="2" t="n">
        <v>7</v>
      </c>
      <c r="C391" s="2" t="s">
        <v>25</v>
      </c>
      <c r="D391" s="2" t="s">
        <v>20</v>
      </c>
      <c r="E391" s="2" t="s">
        <v>14</v>
      </c>
      <c r="F391" s="2" t="s">
        <v>22</v>
      </c>
      <c r="G391" s="3" t="n">
        <v>16289</v>
      </c>
      <c r="H391" s="4" t="n">
        <v>9.45</v>
      </c>
      <c r="I391" s="4" t="n">
        <f aca="false">G391*H391</f>
        <v>153931.05</v>
      </c>
    </row>
    <row r="392" customFormat="false" ht="15" hidden="false" customHeight="false" outlineLevel="0" collapsed="false">
      <c r="A392" s="2" t="s">
        <v>42</v>
      </c>
      <c r="B392" s="2" t="n">
        <v>7</v>
      </c>
      <c r="C392" s="2" t="s">
        <v>25</v>
      </c>
      <c r="D392" s="2" t="s">
        <v>20</v>
      </c>
      <c r="E392" s="2" t="s">
        <v>15</v>
      </c>
      <c r="F392" s="2" t="s">
        <v>22</v>
      </c>
      <c r="G392" s="3" t="n">
        <v>18832</v>
      </c>
      <c r="H392" s="4" t="n">
        <v>9</v>
      </c>
      <c r="I392" s="4" t="n">
        <f aca="false">G392*H392</f>
        <v>169488</v>
      </c>
    </row>
    <row r="393" customFormat="false" ht="15" hidden="false" customHeight="false" outlineLevel="0" collapsed="false">
      <c r="A393" s="2" t="s">
        <v>42</v>
      </c>
      <c r="B393" s="2" t="n">
        <v>7</v>
      </c>
      <c r="C393" s="2" t="s">
        <v>25</v>
      </c>
      <c r="D393" s="2" t="s">
        <v>20</v>
      </c>
      <c r="E393" s="2" t="s">
        <v>16</v>
      </c>
      <c r="F393" s="2" t="s">
        <v>22</v>
      </c>
      <c r="G393" s="3" t="n">
        <v>21274</v>
      </c>
      <c r="H393" s="4" t="n">
        <v>7.02</v>
      </c>
      <c r="I393" s="4" t="n">
        <f aca="false">G393*H393</f>
        <v>149343.48</v>
      </c>
    </row>
    <row r="394" customFormat="false" ht="15" hidden="false" customHeight="false" outlineLevel="0" collapsed="false">
      <c r="A394" s="2" t="s">
        <v>42</v>
      </c>
      <c r="B394" s="2" t="n">
        <v>7</v>
      </c>
      <c r="C394" s="2" t="s">
        <v>26</v>
      </c>
      <c r="D394" s="2" t="s">
        <v>20</v>
      </c>
      <c r="E394" s="2" t="s">
        <v>12</v>
      </c>
      <c r="F394" s="2" t="s">
        <v>22</v>
      </c>
      <c r="G394" s="3" t="n">
        <v>22206</v>
      </c>
      <c r="H394" s="4" t="n">
        <v>14.4</v>
      </c>
      <c r="I394" s="4" t="n">
        <f aca="false">G394*H394</f>
        <v>319766.4</v>
      </c>
    </row>
    <row r="395" customFormat="false" ht="15" hidden="false" customHeight="false" outlineLevel="0" collapsed="false">
      <c r="A395" s="2" t="s">
        <v>42</v>
      </c>
      <c r="B395" s="2" t="n">
        <v>7</v>
      </c>
      <c r="C395" s="2" t="s">
        <v>26</v>
      </c>
      <c r="D395" s="2" t="s">
        <v>20</v>
      </c>
      <c r="E395" s="2" t="s">
        <v>14</v>
      </c>
      <c r="F395" s="2" t="s">
        <v>22</v>
      </c>
      <c r="G395" s="3" t="n">
        <v>9174</v>
      </c>
      <c r="H395" s="4" t="n">
        <v>16.8</v>
      </c>
      <c r="I395" s="4" t="n">
        <f aca="false">G395*H395</f>
        <v>154123.2</v>
      </c>
    </row>
    <row r="396" customFormat="false" ht="15" hidden="false" customHeight="false" outlineLevel="0" collapsed="false">
      <c r="A396" s="2" t="s">
        <v>42</v>
      </c>
      <c r="B396" s="2" t="n">
        <v>7</v>
      </c>
      <c r="C396" s="2" t="s">
        <v>26</v>
      </c>
      <c r="D396" s="2" t="s">
        <v>20</v>
      </c>
      <c r="E396" s="2" t="s">
        <v>15</v>
      </c>
      <c r="F396" s="2" t="s">
        <v>22</v>
      </c>
      <c r="G396" s="3" t="n">
        <v>10918</v>
      </c>
      <c r="H396" s="4" t="n">
        <v>16</v>
      </c>
      <c r="I396" s="4" t="n">
        <f aca="false">G396*H396</f>
        <v>174688</v>
      </c>
    </row>
    <row r="397" customFormat="false" ht="15" hidden="false" customHeight="false" outlineLevel="0" collapsed="false">
      <c r="A397" s="2" t="s">
        <v>42</v>
      </c>
      <c r="B397" s="2" t="n">
        <v>7</v>
      </c>
      <c r="C397" s="2" t="s">
        <v>26</v>
      </c>
      <c r="D397" s="2" t="s">
        <v>20</v>
      </c>
      <c r="E397" s="2" t="s">
        <v>16</v>
      </c>
      <c r="F397" s="2" t="s">
        <v>22</v>
      </c>
      <c r="G397" s="3" t="n">
        <v>12172</v>
      </c>
      <c r="H397" s="4" t="n">
        <v>12.48</v>
      </c>
      <c r="I397" s="4" t="n">
        <f aca="false">G397*H397</f>
        <v>151906.56</v>
      </c>
    </row>
    <row r="398" customFormat="false" ht="15" hidden="false" customHeight="false" outlineLevel="0" collapsed="false">
      <c r="A398" s="2" t="s">
        <v>42</v>
      </c>
      <c r="B398" s="2" t="n">
        <v>7</v>
      </c>
      <c r="C398" s="2" t="s">
        <v>27</v>
      </c>
      <c r="D398" s="2" t="s">
        <v>28</v>
      </c>
      <c r="E398" s="2" t="s">
        <v>12</v>
      </c>
      <c r="F398" s="2" t="s">
        <v>29</v>
      </c>
      <c r="G398" s="3" t="n">
        <v>14414</v>
      </c>
      <c r="H398" s="4" t="n">
        <v>43.2</v>
      </c>
      <c r="I398" s="4" t="n">
        <f aca="false">G398*H398</f>
        <v>622684.8</v>
      </c>
    </row>
    <row r="399" customFormat="false" ht="15" hidden="false" customHeight="false" outlineLevel="0" collapsed="false">
      <c r="A399" s="2" t="s">
        <v>42</v>
      </c>
      <c r="B399" s="2" t="n">
        <v>7</v>
      </c>
      <c r="C399" s="2" t="s">
        <v>27</v>
      </c>
      <c r="D399" s="2" t="s">
        <v>28</v>
      </c>
      <c r="E399" s="2" t="s">
        <v>14</v>
      </c>
      <c r="F399" s="2" t="s">
        <v>29</v>
      </c>
      <c r="G399" s="3" t="n">
        <v>6317</v>
      </c>
      <c r="H399" s="4" t="n">
        <v>50.4</v>
      </c>
      <c r="I399" s="4" t="n">
        <f aca="false">G399*H399</f>
        <v>318376.8</v>
      </c>
    </row>
    <row r="400" customFormat="false" ht="15" hidden="false" customHeight="false" outlineLevel="0" collapsed="false">
      <c r="A400" s="2" t="s">
        <v>42</v>
      </c>
      <c r="B400" s="2" t="n">
        <v>7</v>
      </c>
      <c r="C400" s="2" t="s">
        <v>27</v>
      </c>
      <c r="D400" s="2" t="s">
        <v>28</v>
      </c>
      <c r="E400" s="2" t="s">
        <v>15</v>
      </c>
      <c r="F400" s="2" t="s">
        <v>29</v>
      </c>
      <c r="G400" s="3" t="n">
        <v>7473</v>
      </c>
      <c r="H400" s="4" t="n">
        <v>48</v>
      </c>
      <c r="I400" s="4" t="n">
        <f aca="false">G400*H400</f>
        <v>358704</v>
      </c>
    </row>
    <row r="401" customFormat="false" ht="15" hidden="false" customHeight="false" outlineLevel="0" collapsed="false">
      <c r="A401" s="2" t="s">
        <v>42</v>
      </c>
      <c r="B401" s="2" t="n">
        <v>7</v>
      </c>
      <c r="C401" s="2" t="s">
        <v>27</v>
      </c>
      <c r="D401" s="2" t="s">
        <v>28</v>
      </c>
      <c r="E401" s="2" t="s">
        <v>16</v>
      </c>
      <c r="F401" s="2" t="s">
        <v>29</v>
      </c>
      <c r="G401" s="3" t="n">
        <v>7982</v>
      </c>
      <c r="H401" s="4" t="n">
        <v>37.44</v>
      </c>
      <c r="I401" s="4" t="n">
        <f aca="false">G401*H401</f>
        <v>298846.08</v>
      </c>
    </row>
    <row r="402" customFormat="false" ht="15" hidden="false" customHeight="false" outlineLevel="0" collapsed="false">
      <c r="A402" s="2" t="s">
        <v>42</v>
      </c>
      <c r="B402" s="2" t="n">
        <v>7</v>
      </c>
      <c r="C402" s="2" t="s">
        <v>30</v>
      </c>
      <c r="D402" s="2" t="s">
        <v>28</v>
      </c>
      <c r="E402" s="2" t="s">
        <v>12</v>
      </c>
      <c r="F402" s="2" t="s">
        <v>29</v>
      </c>
      <c r="G402" s="3" t="n">
        <v>5068</v>
      </c>
      <c r="H402" s="4" t="n">
        <v>108</v>
      </c>
      <c r="I402" s="4" t="n">
        <f aca="false">G402*H402</f>
        <v>547344</v>
      </c>
    </row>
    <row r="403" customFormat="false" ht="15" hidden="false" customHeight="false" outlineLevel="0" collapsed="false">
      <c r="A403" s="2" t="s">
        <v>42</v>
      </c>
      <c r="B403" s="2" t="n">
        <v>7</v>
      </c>
      <c r="C403" s="2" t="s">
        <v>30</v>
      </c>
      <c r="D403" s="2" t="s">
        <v>28</v>
      </c>
      <c r="E403" s="2" t="s">
        <v>14</v>
      </c>
      <c r="F403" s="2" t="s">
        <v>29</v>
      </c>
      <c r="G403" s="3" t="n">
        <v>2285</v>
      </c>
      <c r="H403" s="4" t="n">
        <v>126</v>
      </c>
      <c r="I403" s="4" t="n">
        <f aca="false">G403*H403</f>
        <v>287910</v>
      </c>
    </row>
    <row r="404" customFormat="false" ht="15" hidden="false" customHeight="false" outlineLevel="0" collapsed="false">
      <c r="A404" s="2" t="s">
        <v>42</v>
      </c>
      <c r="B404" s="2" t="n">
        <v>7</v>
      </c>
      <c r="C404" s="2" t="s">
        <v>30</v>
      </c>
      <c r="D404" s="2" t="s">
        <v>28</v>
      </c>
      <c r="E404" s="2" t="s">
        <v>15</v>
      </c>
      <c r="F404" s="2" t="s">
        <v>29</v>
      </c>
      <c r="G404" s="3" t="n">
        <v>2687</v>
      </c>
      <c r="H404" s="4" t="n">
        <v>120</v>
      </c>
      <c r="I404" s="4" t="n">
        <f aca="false">G404*H404</f>
        <v>322440</v>
      </c>
    </row>
    <row r="405" customFormat="false" ht="15" hidden="false" customHeight="false" outlineLevel="0" collapsed="false">
      <c r="A405" s="2" t="s">
        <v>42</v>
      </c>
      <c r="B405" s="2" t="n">
        <v>7</v>
      </c>
      <c r="C405" s="2" t="s">
        <v>30</v>
      </c>
      <c r="D405" s="2" t="s">
        <v>28</v>
      </c>
      <c r="E405" s="2" t="s">
        <v>16</v>
      </c>
      <c r="F405" s="2" t="s">
        <v>29</v>
      </c>
      <c r="G405" s="3" t="n">
        <v>2685</v>
      </c>
      <c r="H405" s="4" t="n">
        <v>93.6</v>
      </c>
      <c r="I405" s="4" t="n">
        <f aca="false">G405*H405</f>
        <v>251316</v>
      </c>
    </row>
    <row r="406" customFormat="false" ht="15" hidden="false" customHeight="false" outlineLevel="0" collapsed="false">
      <c r="A406" s="2" t="s">
        <v>42</v>
      </c>
      <c r="B406" s="2" t="n">
        <v>7</v>
      </c>
      <c r="C406" s="2" t="s">
        <v>31</v>
      </c>
      <c r="D406" s="2" t="s">
        <v>28</v>
      </c>
      <c r="E406" s="2" t="s">
        <v>12</v>
      </c>
      <c r="F406" s="2" t="s">
        <v>29</v>
      </c>
      <c r="G406" s="3" t="n">
        <v>6166</v>
      </c>
      <c r="H406" s="4" t="n">
        <v>85.5</v>
      </c>
      <c r="I406" s="4" t="n">
        <f aca="false">G406*H406</f>
        <v>527193</v>
      </c>
    </row>
    <row r="407" customFormat="false" ht="15" hidden="false" customHeight="false" outlineLevel="0" collapsed="false">
      <c r="A407" s="2" t="s">
        <v>42</v>
      </c>
      <c r="B407" s="2" t="n">
        <v>7</v>
      </c>
      <c r="C407" s="2" t="s">
        <v>31</v>
      </c>
      <c r="D407" s="2" t="s">
        <v>28</v>
      </c>
      <c r="E407" s="2" t="s">
        <v>14</v>
      </c>
      <c r="F407" s="2" t="s">
        <v>29</v>
      </c>
      <c r="G407" s="3" t="n">
        <v>2607</v>
      </c>
      <c r="H407" s="4" t="n">
        <v>99.75</v>
      </c>
      <c r="I407" s="4" t="n">
        <f aca="false">G407*H407</f>
        <v>260048.25</v>
      </c>
    </row>
    <row r="408" customFormat="false" ht="15" hidden="false" customHeight="false" outlineLevel="0" collapsed="false">
      <c r="A408" s="2" t="s">
        <v>42</v>
      </c>
      <c r="B408" s="2" t="n">
        <v>7</v>
      </c>
      <c r="C408" s="2" t="s">
        <v>31</v>
      </c>
      <c r="D408" s="2" t="s">
        <v>28</v>
      </c>
      <c r="E408" s="2" t="s">
        <v>15</v>
      </c>
      <c r="F408" s="2" t="s">
        <v>29</v>
      </c>
      <c r="G408" s="3" t="n">
        <v>3411</v>
      </c>
      <c r="H408" s="4" t="n">
        <v>95</v>
      </c>
      <c r="I408" s="4" t="n">
        <f aca="false">G408*H408</f>
        <v>324045</v>
      </c>
    </row>
    <row r="409" customFormat="false" ht="15" hidden="false" customHeight="false" outlineLevel="0" collapsed="false">
      <c r="A409" s="2" t="s">
        <v>42</v>
      </c>
      <c r="B409" s="2" t="n">
        <v>7</v>
      </c>
      <c r="C409" s="2" t="s">
        <v>31</v>
      </c>
      <c r="D409" s="2" t="s">
        <v>28</v>
      </c>
      <c r="E409" s="2" t="s">
        <v>16</v>
      </c>
      <c r="F409" s="2" t="s">
        <v>29</v>
      </c>
      <c r="G409" s="3" t="n">
        <v>3276</v>
      </c>
      <c r="H409" s="4" t="n">
        <v>74.1</v>
      </c>
      <c r="I409" s="4" t="n">
        <f aca="false">G409*H409</f>
        <v>242751.6</v>
      </c>
    </row>
    <row r="410" customFormat="false" ht="15" hidden="false" customHeight="false" outlineLevel="0" collapsed="false">
      <c r="A410" s="2" t="s">
        <v>42</v>
      </c>
      <c r="B410" s="2" t="n">
        <v>7</v>
      </c>
      <c r="C410" s="2" t="s">
        <v>32</v>
      </c>
      <c r="D410" s="2" t="s">
        <v>28</v>
      </c>
      <c r="E410" s="2" t="s">
        <v>12</v>
      </c>
      <c r="F410" s="2" t="s">
        <v>29</v>
      </c>
      <c r="G410" s="3" t="n">
        <v>9285</v>
      </c>
      <c r="H410" s="4" t="n">
        <v>61.2</v>
      </c>
      <c r="I410" s="4" t="n">
        <f aca="false">G410*H410</f>
        <v>568242</v>
      </c>
    </row>
    <row r="411" customFormat="false" ht="15" hidden="false" customHeight="false" outlineLevel="0" collapsed="false">
      <c r="A411" s="2" t="s">
        <v>42</v>
      </c>
      <c r="B411" s="2" t="n">
        <v>7</v>
      </c>
      <c r="C411" s="2" t="s">
        <v>32</v>
      </c>
      <c r="D411" s="2" t="s">
        <v>28</v>
      </c>
      <c r="E411" s="2" t="s">
        <v>14</v>
      </c>
      <c r="F411" s="2" t="s">
        <v>29</v>
      </c>
      <c r="G411" s="3" t="n">
        <v>3570</v>
      </c>
      <c r="H411" s="4" t="n">
        <v>71.4</v>
      </c>
      <c r="I411" s="4" t="n">
        <f aca="false">G411*H411</f>
        <v>254898</v>
      </c>
    </row>
    <row r="412" customFormat="false" ht="15" hidden="false" customHeight="false" outlineLevel="0" collapsed="false">
      <c r="A412" s="2" t="s">
        <v>42</v>
      </c>
      <c r="B412" s="2" t="n">
        <v>7</v>
      </c>
      <c r="C412" s="2" t="s">
        <v>32</v>
      </c>
      <c r="D412" s="2" t="s">
        <v>28</v>
      </c>
      <c r="E412" s="2" t="s">
        <v>15</v>
      </c>
      <c r="F412" s="2" t="s">
        <v>29</v>
      </c>
      <c r="G412" s="3" t="n">
        <v>4451</v>
      </c>
      <c r="H412" s="4" t="n">
        <v>68</v>
      </c>
      <c r="I412" s="4" t="n">
        <f aca="false">G412*H412</f>
        <v>302668</v>
      </c>
    </row>
    <row r="413" customFormat="false" ht="15" hidden="false" customHeight="false" outlineLevel="0" collapsed="false">
      <c r="A413" s="2" t="s">
        <v>42</v>
      </c>
      <c r="B413" s="2" t="n">
        <v>7</v>
      </c>
      <c r="C413" s="2" t="s">
        <v>32</v>
      </c>
      <c r="D413" s="2" t="s">
        <v>28</v>
      </c>
      <c r="E413" s="2" t="s">
        <v>16</v>
      </c>
      <c r="F413" s="2" t="s">
        <v>29</v>
      </c>
      <c r="G413" s="3" t="n">
        <v>4708</v>
      </c>
      <c r="H413" s="4" t="n">
        <v>53.04</v>
      </c>
      <c r="I413" s="4" t="n">
        <f aca="false">G413*H413</f>
        <v>249712.32</v>
      </c>
    </row>
    <row r="414" customFormat="false" ht="15" hidden="false" customHeight="false" outlineLevel="0" collapsed="false">
      <c r="A414" s="2" t="s">
        <v>42</v>
      </c>
      <c r="B414" s="2" t="n">
        <v>7</v>
      </c>
      <c r="C414" s="2" t="s">
        <v>33</v>
      </c>
      <c r="D414" s="2" t="s">
        <v>34</v>
      </c>
      <c r="E414" s="2" t="s">
        <v>12</v>
      </c>
      <c r="F414" s="2" t="s">
        <v>35</v>
      </c>
      <c r="G414" s="3" t="n">
        <v>10968</v>
      </c>
      <c r="H414" s="4" t="n">
        <v>31.5</v>
      </c>
      <c r="I414" s="4" t="n">
        <f aca="false">G414*H414</f>
        <v>345492</v>
      </c>
    </row>
    <row r="415" customFormat="false" ht="15" hidden="false" customHeight="false" outlineLevel="0" collapsed="false">
      <c r="A415" s="2" t="s">
        <v>42</v>
      </c>
      <c r="B415" s="2" t="n">
        <v>7</v>
      </c>
      <c r="C415" s="2" t="s">
        <v>33</v>
      </c>
      <c r="D415" s="2" t="s">
        <v>34</v>
      </c>
      <c r="E415" s="2" t="s">
        <v>14</v>
      </c>
      <c r="F415" s="2" t="s">
        <v>35</v>
      </c>
      <c r="G415" s="3" t="n">
        <v>4791</v>
      </c>
      <c r="H415" s="4" t="n">
        <v>36.75</v>
      </c>
      <c r="I415" s="4" t="n">
        <f aca="false">G415*H415</f>
        <v>176069.25</v>
      </c>
    </row>
    <row r="416" customFormat="false" ht="15" hidden="false" customHeight="false" outlineLevel="0" collapsed="false">
      <c r="A416" s="2" t="s">
        <v>42</v>
      </c>
      <c r="B416" s="2" t="n">
        <v>7</v>
      </c>
      <c r="C416" s="2" t="s">
        <v>33</v>
      </c>
      <c r="D416" s="2" t="s">
        <v>34</v>
      </c>
      <c r="E416" s="2" t="s">
        <v>15</v>
      </c>
      <c r="F416" s="2" t="s">
        <v>35</v>
      </c>
      <c r="G416" s="3" t="n">
        <v>5710</v>
      </c>
      <c r="H416" s="4" t="n">
        <v>35</v>
      </c>
      <c r="I416" s="4" t="n">
        <f aca="false">G416*H416</f>
        <v>199850</v>
      </c>
    </row>
    <row r="417" customFormat="false" ht="15" hidden="false" customHeight="false" outlineLevel="0" collapsed="false">
      <c r="A417" s="2" t="s">
        <v>42</v>
      </c>
      <c r="B417" s="2" t="n">
        <v>7</v>
      </c>
      <c r="C417" s="2" t="s">
        <v>33</v>
      </c>
      <c r="D417" s="2" t="s">
        <v>34</v>
      </c>
      <c r="E417" s="2" t="s">
        <v>16</v>
      </c>
      <c r="F417" s="2" t="s">
        <v>35</v>
      </c>
      <c r="G417" s="3" t="n">
        <v>5854</v>
      </c>
      <c r="H417" s="4" t="n">
        <v>27.3</v>
      </c>
      <c r="I417" s="4" t="n">
        <f aca="false">G417*H417</f>
        <v>159814.2</v>
      </c>
    </row>
    <row r="418" customFormat="false" ht="15" hidden="false" customHeight="false" outlineLevel="0" collapsed="false">
      <c r="A418" s="2" t="s">
        <v>42</v>
      </c>
      <c r="B418" s="2" t="n">
        <v>7</v>
      </c>
      <c r="C418" s="2" t="s">
        <v>36</v>
      </c>
      <c r="D418" s="2" t="s">
        <v>34</v>
      </c>
      <c r="E418" s="2" t="s">
        <v>12</v>
      </c>
      <c r="F418" s="2" t="s">
        <v>35</v>
      </c>
      <c r="G418" s="3" t="n">
        <v>7738</v>
      </c>
      <c r="H418" s="4" t="n">
        <v>39.6</v>
      </c>
      <c r="I418" s="4" t="n">
        <f aca="false">G418*H418</f>
        <v>306424.8</v>
      </c>
    </row>
    <row r="419" customFormat="false" ht="15" hidden="false" customHeight="false" outlineLevel="0" collapsed="false">
      <c r="A419" s="2" t="s">
        <v>42</v>
      </c>
      <c r="B419" s="2" t="n">
        <v>7</v>
      </c>
      <c r="C419" s="2" t="s">
        <v>36</v>
      </c>
      <c r="D419" s="2" t="s">
        <v>34</v>
      </c>
      <c r="E419" s="2" t="s">
        <v>14</v>
      </c>
      <c r="F419" s="2" t="s">
        <v>35</v>
      </c>
      <c r="G419" s="3" t="n">
        <v>3160</v>
      </c>
      <c r="H419" s="4" t="n">
        <v>46.2</v>
      </c>
      <c r="I419" s="4" t="n">
        <f aca="false">G419*H419</f>
        <v>145992</v>
      </c>
    </row>
    <row r="420" customFormat="false" ht="15" hidden="false" customHeight="false" outlineLevel="0" collapsed="false">
      <c r="A420" s="2" t="s">
        <v>42</v>
      </c>
      <c r="B420" s="2" t="n">
        <v>7</v>
      </c>
      <c r="C420" s="2" t="s">
        <v>36</v>
      </c>
      <c r="D420" s="2" t="s">
        <v>34</v>
      </c>
      <c r="E420" s="2" t="s">
        <v>15</v>
      </c>
      <c r="F420" s="2" t="s">
        <v>35</v>
      </c>
      <c r="G420" s="3" t="n">
        <v>3743</v>
      </c>
      <c r="H420" s="4" t="n">
        <v>44</v>
      </c>
      <c r="I420" s="4" t="n">
        <f aca="false">G420*H420</f>
        <v>164692</v>
      </c>
    </row>
    <row r="421" customFormat="false" ht="15" hidden="false" customHeight="false" outlineLevel="0" collapsed="false">
      <c r="A421" s="2" t="s">
        <v>42</v>
      </c>
      <c r="B421" s="2" t="n">
        <v>7</v>
      </c>
      <c r="C421" s="2" t="s">
        <v>36</v>
      </c>
      <c r="D421" s="2" t="s">
        <v>34</v>
      </c>
      <c r="E421" s="2" t="s">
        <v>16</v>
      </c>
      <c r="F421" s="2" t="s">
        <v>35</v>
      </c>
      <c r="G421" s="3" t="n">
        <v>4054</v>
      </c>
      <c r="H421" s="4" t="n">
        <v>34.32</v>
      </c>
      <c r="I421" s="4" t="n">
        <f aca="false">G421*H421</f>
        <v>139133.28</v>
      </c>
    </row>
    <row r="422" customFormat="false" ht="15" hidden="false" customHeight="false" outlineLevel="0" collapsed="false">
      <c r="A422" s="2" t="s">
        <v>43</v>
      </c>
      <c r="B422" s="2" t="n">
        <v>8</v>
      </c>
      <c r="C422" s="2" t="s">
        <v>10</v>
      </c>
      <c r="D422" s="2" t="s">
        <v>11</v>
      </c>
      <c r="E422" s="2" t="s">
        <v>12</v>
      </c>
      <c r="F422" s="2" t="s">
        <v>13</v>
      </c>
      <c r="G422" s="3" t="n">
        <v>4336</v>
      </c>
      <c r="H422" s="4" t="n">
        <v>37.8</v>
      </c>
      <c r="I422" s="4" t="n">
        <f aca="false">G422*H422</f>
        <v>163900.8</v>
      </c>
    </row>
    <row r="423" customFormat="false" ht="15" hidden="false" customHeight="false" outlineLevel="0" collapsed="false">
      <c r="A423" s="2" t="s">
        <v>43</v>
      </c>
      <c r="B423" s="2" t="n">
        <v>8</v>
      </c>
      <c r="C423" s="2" t="s">
        <v>10</v>
      </c>
      <c r="D423" s="2" t="s">
        <v>11</v>
      </c>
      <c r="E423" s="2" t="s">
        <v>14</v>
      </c>
      <c r="F423" s="2" t="s">
        <v>13</v>
      </c>
      <c r="G423" s="3" t="n">
        <v>10532</v>
      </c>
      <c r="H423" s="4" t="n">
        <v>44.1</v>
      </c>
      <c r="I423" s="4" t="n">
        <f aca="false">G423*H423</f>
        <v>464461.2</v>
      </c>
    </row>
    <row r="424" customFormat="false" ht="15" hidden="false" customHeight="false" outlineLevel="0" collapsed="false">
      <c r="A424" s="2" t="s">
        <v>43</v>
      </c>
      <c r="B424" s="2" t="n">
        <v>8</v>
      </c>
      <c r="C424" s="2" t="s">
        <v>10</v>
      </c>
      <c r="D424" s="2" t="s">
        <v>11</v>
      </c>
      <c r="E424" s="2" t="s">
        <v>15</v>
      </c>
      <c r="F424" s="2" t="s">
        <v>13</v>
      </c>
      <c r="G424" s="3" t="n">
        <v>12966</v>
      </c>
      <c r="H424" s="4" t="n">
        <v>42</v>
      </c>
      <c r="I424" s="4" t="n">
        <f aca="false">G424*H424</f>
        <v>544572</v>
      </c>
    </row>
    <row r="425" customFormat="false" ht="15" hidden="false" customHeight="false" outlineLevel="0" collapsed="false">
      <c r="A425" s="2" t="s">
        <v>43</v>
      </c>
      <c r="B425" s="2" t="n">
        <v>8</v>
      </c>
      <c r="C425" s="2" t="s">
        <v>10</v>
      </c>
      <c r="D425" s="2" t="s">
        <v>11</v>
      </c>
      <c r="E425" s="2" t="s">
        <v>16</v>
      </c>
      <c r="F425" s="2" t="s">
        <v>13</v>
      </c>
      <c r="G425" s="3" t="n">
        <v>15033</v>
      </c>
      <c r="H425" s="4" t="n">
        <v>32.76</v>
      </c>
      <c r="I425" s="4" t="n">
        <f aca="false">G425*H425</f>
        <v>492481.08</v>
      </c>
    </row>
    <row r="426" customFormat="false" ht="15" hidden="false" customHeight="false" outlineLevel="0" collapsed="false">
      <c r="A426" s="2" t="s">
        <v>43</v>
      </c>
      <c r="B426" s="2" t="n">
        <v>8</v>
      </c>
      <c r="C426" s="2" t="s">
        <v>17</v>
      </c>
      <c r="D426" s="2" t="s">
        <v>11</v>
      </c>
      <c r="E426" s="2" t="s">
        <v>12</v>
      </c>
      <c r="F426" s="2" t="s">
        <v>13</v>
      </c>
      <c r="G426" s="3" t="n">
        <v>17153</v>
      </c>
      <c r="H426" s="4" t="n">
        <v>34.2</v>
      </c>
      <c r="I426" s="4" t="n">
        <f aca="false">G426*H426</f>
        <v>586632.6</v>
      </c>
    </row>
    <row r="427" customFormat="false" ht="15" hidden="false" customHeight="false" outlineLevel="0" collapsed="false">
      <c r="A427" s="2" t="s">
        <v>43</v>
      </c>
      <c r="B427" s="2" t="n">
        <v>8</v>
      </c>
      <c r="C427" s="2" t="s">
        <v>17</v>
      </c>
      <c r="D427" s="2" t="s">
        <v>11</v>
      </c>
      <c r="E427" s="2" t="s">
        <v>14</v>
      </c>
      <c r="F427" s="2" t="s">
        <v>13</v>
      </c>
      <c r="G427" s="3" t="n">
        <v>7465</v>
      </c>
      <c r="H427" s="4" t="n">
        <v>39.9</v>
      </c>
      <c r="I427" s="4" t="n">
        <f aca="false">G427*H427</f>
        <v>297853.5</v>
      </c>
    </row>
    <row r="428" customFormat="false" ht="15" hidden="false" customHeight="false" outlineLevel="0" collapsed="false">
      <c r="A428" s="2" t="s">
        <v>43</v>
      </c>
      <c r="B428" s="2" t="n">
        <v>8</v>
      </c>
      <c r="C428" s="2" t="s">
        <v>17</v>
      </c>
      <c r="D428" s="2" t="s">
        <v>11</v>
      </c>
      <c r="E428" s="2" t="s">
        <v>15</v>
      </c>
      <c r="F428" s="2" t="s">
        <v>13</v>
      </c>
      <c r="G428" s="3" t="n">
        <v>8453</v>
      </c>
      <c r="H428" s="4" t="n">
        <v>38</v>
      </c>
      <c r="I428" s="4" t="n">
        <f aca="false">G428*H428</f>
        <v>321214</v>
      </c>
    </row>
    <row r="429" customFormat="false" ht="15" hidden="false" customHeight="false" outlineLevel="0" collapsed="false">
      <c r="A429" s="2" t="s">
        <v>43</v>
      </c>
      <c r="B429" s="2" t="n">
        <v>8</v>
      </c>
      <c r="C429" s="2" t="s">
        <v>17</v>
      </c>
      <c r="D429" s="2" t="s">
        <v>11</v>
      </c>
      <c r="E429" s="2" t="s">
        <v>16</v>
      </c>
      <c r="F429" s="2" t="s">
        <v>13</v>
      </c>
      <c r="G429" s="3" t="n">
        <v>9916</v>
      </c>
      <c r="H429" s="4" t="n">
        <v>29.64</v>
      </c>
      <c r="I429" s="4" t="n">
        <f aca="false">G429*H429</f>
        <v>293910.24</v>
      </c>
    </row>
    <row r="430" customFormat="false" ht="15" hidden="false" customHeight="false" outlineLevel="0" collapsed="false">
      <c r="A430" s="2" t="s">
        <v>43</v>
      </c>
      <c r="B430" s="2" t="n">
        <v>8</v>
      </c>
      <c r="C430" s="2" t="s">
        <v>18</v>
      </c>
      <c r="D430" s="2" t="s">
        <v>11</v>
      </c>
      <c r="E430" s="2" t="s">
        <v>12</v>
      </c>
      <c r="F430" s="2" t="s">
        <v>13</v>
      </c>
      <c r="G430" s="3" t="n">
        <v>9804</v>
      </c>
      <c r="H430" s="4" t="n">
        <v>49.5</v>
      </c>
      <c r="I430" s="4" t="n">
        <f aca="false">G430*H430</f>
        <v>485298</v>
      </c>
    </row>
    <row r="431" customFormat="false" ht="15" hidden="false" customHeight="false" outlineLevel="0" collapsed="false">
      <c r="A431" s="2" t="s">
        <v>43</v>
      </c>
      <c r="B431" s="2" t="n">
        <v>8</v>
      </c>
      <c r="C431" s="2" t="s">
        <v>18</v>
      </c>
      <c r="D431" s="2" t="s">
        <v>11</v>
      </c>
      <c r="E431" s="2" t="s">
        <v>14</v>
      </c>
      <c r="F431" s="2" t="s">
        <v>13</v>
      </c>
      <c r="G431" s="3" t="n">
        <v>4240</v>
      </c>
      <c r="H431" s="4" t="n">
        <v>57.75</v>
      </c>
      <c r="I431" s="4" t="n">
        <f aca="false">G431*H431</f>
        <v>244860</v>
      </c>
    </row>
    <row r="432" customFormat="false" ht="15" hidden="false" customHeight="false" outlineLevel="0" collapsed="false">
      <c r="A432" s="2" t="s">
        <v>43</v>
      </c>
      <c r="B432" s="2" t="n">
        <v>8</v>
      </c>
      <c r="C432" s="2" t="s">
        <v>18</v>
      </c>
      <c r="D432" s="2" t="s">
        <v>11</v>
      </c>
      <c r="E432" s="2" t="s">
        <v>15</v>
      </c>
      <c r="F432" s="2" t="s">
        <v>13</v>
      </c>
      <c r="G432" s="3" t="n">
        <v>5060</v>
      </c>
      <c r="H432" s="4" t="n">
        <v>55</v>
      </c>
      <c r="I432" s="4" t="n">
        <f aca="false">G432*H432</f>
        <v>278300</v>
      </c>
    </row>
    <row r="433" customFormat="false" ht="15" hidden="false" customHeight="false" outlineLevel="0" collapsed="false">
      <c r="A433" s="2" t="s">
        <v>43</v>
      </c>
      <c r="B433" s="2" t="n">
        <v>8</v>
      </c>
      <c r="C433" s="2" t="s">
        <v>18</v>
      </c>
      <c r="D433" s="2" t="s">
        <v>11</v>
      </c>
      <c r="E433" s="2" t="s">
        <v>16</v>
      </c>
      <c r="F433" s="2" t="s">
        <v>13</v>
      </c>
      <c r="G433" s="3" t="n">
        <v>5352</v>
      </c>
      <c r="H433" s="4" t="n">
        <v>42.9</v>
      </c>
      <c r="I433" s="4" t="n">
        <f aca="false">G433*H433</f>
        <v>229600.8</v>
      </c>
    </row>
    <row r="434" customFormat="false" ht="15" hidden="false" customHeight="false" outlineLevel="0" collapsed="false">
      <c r="A434" s="2" t="s">
        <v>43</v>
      </c>
      <c r="B434" s="2" t="n">
        <v>8</v>
      </c>
      <c r="C434" s="2" t="s">
        <v>19</v>
      </c>
      <c r="D434" s="2" t="s">
        <v>20</v>
      </c>
      <c r="E434" s="2" t="s">
        <v>12</v>
      </c>
      <c r="F434" s="2" t="s">
        <v>13</v>
      </c>
      <c r="G434" s="3" t="n">
        <v>18750</v>
      </c>
      <c r="H434" s="4" t="n">
        <v>23.4</v>
      </c>
      <c r="I434" s="4" t="n">
        <f aca="false">G434*H434</f>
        <v>438750</v>
      </c>
    </row>
    <row r="435" customFormat="false" ht="15" hidden="false" customHeight="false" outlineLevel="0" collapsed="false">
      <c r="A435" s="2" t="s">
        <v>43</v>
      </c>
      <c r="B435" s="2" t="n">
        <v>8</v>
      </c>
      <c r="C435" s="2" t="s">
        <v>19</v>
      </c>
      <c r="D435" s="2" t="s">
        <v>20</v>
      </c>
      <c r="E435" s="2" t="s">
        <v>14</v>
      </c>
      <c r="F435" s="2" t="s">
        <v>13</v>
      </c>
      <c r="G435" s="3" t="n">
        <v>8566</v>
      </c>
      <c r="H435" s="4" t="n">
        <v>27.3</v>
      </c>
      <c r="I435" s="4" t="n">
        <f aca="false">G435*H435</f>
        <v>233851.8</v>
      </c>
    </row>
    <row r="436" customFormat="false" ht="15" hidden="false" customHeight="false" outlineLevel="0" collapsed="false">
      <c r="A436" s="2" t="s">
        <v>43</v>
      </c>
      <c r="B436" s="2" t="n">
        <v>8</v>
      </c>
      <c r="C436" s="2" t="s">
        <v>19</v>
      </c>
      <c r="D436" s="2" t="s">
        <v>20</v>
      </c>
      <c r="E436" s="2" t="s">
        <v>15</v>
      </c>
      <c r="F436" s="2" t="s">
        <v>13</v>
      </c>
      <c r="G436" s="3" t="n">
        <v>10580</v>
      </c>
      <c r="H436" s="4" t="n">
        <v>26</v>
      </c>
      <c r="I436" s="4" t="n">
        <f aca="false">G436*H436</f>
        <v>275080</v>
      </c>
    </row>
    <row r="437" customFormat="false" ht="15" hidden="false" customHeight="false" outlineLevel="0" collapsed="false">
      <c r="A437" s="2" t="s">
        <v>43</v>
      </c>
      <c r="B437" s="2" t="n">
        <v>8</v>
      </c>
      <c r="C437" s="2" t="s">
        <v>19</v>
      </c>
      <c r="D437" s="2" t="s">
        <v>20</v>
      </c>
      <c r="E437" s="2" t="s">
        <v>16</v>
      </c>
      <c r="F437" s="2" t="s">
        <v>13</v>
      </c>
      <c r="G437" s="3" t="n">
        <v>11756</v>
      </c>
      <c r="H437" s="4" t="n">
        <v>20.28</v>
      </c>
      <c r="I437" s="4" t="n">
        <f aca="false">G437*H437</f>
        <v>238411.68</v>
      </c>
    </row>
    <row r="438" customFormat="false" ht="15" hidden="false" customHeight="false" outlineLevel="0" collapsed="false">
      <c r="A438" s="2" t="s">
        <v>43</v>
      </c>
      <c r="B438" s="2" t="n">
        <v>8</v>
      </c>
      <c r="C438" s="2" t="s">
        <v>21</v>
      </c>
      <c r="D438" s="2" t="s">
        <v>20</v>
      </c>
      <c r="E438" s="2" t="s">
        <v>12</v>
      </c>
      <c r="F438" s="2" t="s">
        <v>22</v>
      </c>
      <c r="G438" s="3" t="n">
        <v>10087</v>
      </c>
      <c r="H438" s="4" t="n">
        <v>12.6</v>
      </c>
      <c r="I438" s="4" t="n">
        <f aca="false">G438*H438</f>
        <v>127096.2</v>
      </c>
    </row>
    <row r="439" customFormat="false" ht="15" hidden="false" customHeight="false" outlineLevel="0" collapsed="false">
      <c r="A439" s="2" t="s">
        <v>43</v>
      </c>
      <c r="B439" s="2" t="n">
        <v>8</v>
      </c>
      <c r="C439" s="2" t="s">
        <v>21</v>
      </c>
      <c r="D439" s="2" t="s">
        <v>20</v>
      </c>
      <c r="E439" s="2" t="s">
        <v>14</v>
      </c>
      <c r="F439" s="2" t="s">
        <v>22</v>
      </c>
      <c r="G439" s="3" t="n">
        <v>4250</v>
      </c>
      <c r="H439" s="4" t="n">
        <v>14.7</v>
      </c>
      <c r="I439" s="4" t="n">
        <f aca="false">G439*H439</f>
        <v>62475</v>
      </c>
    </row>
    <row r="440" customFormat="false" ht="15" hidden="false" customHeight="false" outlineLevel="0" collapsed="false">
      <c r="A440" s="2" t="s">
        <v>43</v>
      </c>
      <c r="B440" s="2" t="n">
        <v>8</v>
      </c>
      <c r="C440" s="2" t="s">
        <v>21</v>
      </c>
      <c r="D440" s="2" t="s">
        <v>20</v>
      </c>
      <c r="E440" s="2" t="s">
        <v>15</v>
      </c>
      <c r="F440" s="2" t="s">
        <v>22</v>
      </c>
      <c r="G440" s="3" t="n">
        <v>5356</v>
      </c>
      <c r="H440" s="4" t="n">
        <v>14</v>
      </c>
      <c r="I440" s="4" t="n">
        <f aca="false">G440*H440</f>
        <v>74984</v>
      </c>
    </row>
    <row r="441" customFormat="false" ht="15" hidden="false" customHeight="false" outlineLevel="0" collapsed="false">
      <c r="A441" s="2" t="s">
        <v>43</v>
      </c>
      <c r="B441" s="2" t="n">
        <v>8</v>
      </c>
      <c r="C441" s="2" t="s">
        <v>21</v>
      </c>
      <c r="D441" s="2" t="s">
        <v>20</v>
      </c>
      <c r="E441" s="2" t="s">
        <v>16</v>
      </c>
      <c r="F441" s="2" t="s">
        <v>22</v>
      </c>
      <c r="G441" s="3" t="n">
        <v>6060</v>
      </c>
      <c r="H441" s="4" t="n">
        <v>10.92</v>
      </c>
      <c r="I441" s="4" t="n">
        <f aca="false">G441*H441</f>
        <v>66175.2</v>
      </c>
    </row>
    <row r="442" customFormat="false" ht="15" hidden="false" customHeight="false" outlineLevel="0" collapsed="false">
      <c r="A442" s="2" t="s">
        <v>43</v>
      </c>
      <c r="B442" s="2" t="n">
        <v>8</v>
      </c>
      <c r="C442" s="2" t="s">
        <v>23</v>
      </c>
      <c r="D442" s="2" t="s">
        <v>20</v>
      </c>
      <c r="E442" s="2" t="s">
        <v>12</v>
      </c>
      <c r="F442" s="2" t="s">
        <v>13</v>
      </c>
      <c r="G442" s="3" t="n">
        <v>7392</v>
      </c>
      <c r="H442" s="4" t="n">
        <v>27.9</v>
      </c>
      <c r="I442" s="4" t="n">
        <f aca="false">G442*H442</f>
        <v>206236.8</v>
      </c>
    </row>
    <row r="443" customFormat="false" ht="15" hidden="false" customHeight="false" outlineLevel="0" collapsed="false">
      <c r="A443" s="2" t="s">
        <v>43</v>
      </c>
      <c r="B443" s="2" t="n">
        <v>8</v>
      </c>
      <c r="C443" s="2" t="s">
        <v>23</v>
      </c>
      <c r="D443" s="2" t="s">
        <v>20</v>
      </c>
      <c r="E443" s="2" t="s">
        <v>14</v>
      </c>
      <c r="F443" s="2" t="s">
        <v>13</v>
      </c>
      <c r="G443" s="3" t="n">
        <v>3148</v>
      </c>
      <c r="H443" s="4" t="n">
        <v>32.55</v>
      </c>
      <c r="I443" s="4" t="n">
        <f aca="false">G443*H443</f>
        <v>102467.4</v>
      </c>
    </row>
    <row r="444" customFormat="false" ht="15" hidden="false" customHeight="false" outlineLevel="0" collapsed="false">
      <c r="A444" s="2" t="s">
        <v>43</v>
      </c>
      <c r="B444" s="2" t="n">
        <v>8</v>
      </c>
      <c r="C444" s="2" t="s">
        <v>23</v>
      </c>
      <c r="D444" s="2" t="s">
        <v>20</v>
      </c>
      <c r="E444" s="2" t="s">
        <v>15</v>
      </c>
      <c r="F444" s="2" t="s">
        <v>13</v>
      </c>
      <c r="G444" s="3" t="n">
        <v>3972</v>
      </c>
      <c r="H444" s="4" t="n">
        <v>31</v>
      </c>
      <c r="I444" s="4" t="n">
        <f aca="false">G444*H444</f>
        <v>123132</v>
      </c>
    </row>
    <row r="445" customFormat="false" ht="15" hidden="false" customHeight="false" outlineLevel="0" collapsed="false">
      <c r="A445" s="2" t="s">
        <v>43</v>
      </c>
      <c r="B445" s="2" t="n">
        <v>8</v>
      </c>
      <c r="C445" s="2" t="s">
        <v>23</v>
      </c>
      <c r="D445" s="2" t="s">
        <v>20</v>
      </c>
      <c r="E445" s="2" t="s">
        <v>16</v>
      </c>
      <c r="F445" s="2" t="s">
        <v>13</v>
      </c>
      <c r="G445" s="3" t="n">
        <v>4237</v>
      </c>
      <c r="H445" s="4" t="n">
        <v>24.18</v>
      </c>
      <c r="I445" s="4" t="n">
        <f aca="false">G445*H445</f>
        <v>102450.66</v>
      </c>
    </row>
    <row r="446" customFormat="false" ht="15" hidden="false" customHeight="false" outlineLevel="0" collapsed="false">
      <c r="A446" s="2" t="s">
        <v>43</v>
      </c>
      <c r="B446" s="2" t="n">
        <v>8</v>
      </c>
      <c r="C446" s="2" t="s">
        <v>24</v>
      </c>
      <c r="D446" s="2" t="s">
        <v>20</v>
      </c>
      <c r="E446" s="2" t="s">
        <v>12</v>
      </c>
      <c r="F446" s="2" t="s">
        <v>22</v>
      </c>
      <c r="G446" s="3" t="n">
        <v>27162</v>
      </c>
      <c r="H446" s="4" t="n">
        <v>10.8</v>
      </c>
      <c r="I446" s="4" t="n">
        <f aca="false">G446*H446</f>
        <v>293349.6</v>
      </c>
    </row>
    <row r="447" customFormat="false" ht="15" hidden="false" customHeight="false" outlineLevel="0" collapsed="false">
      <c r="A447" s="2" t="s">
        <v>43</v>
      </c>
      <c r="B447" s="2" t="n">
        <v>8</v>
      </c>
      <c r="C447" s="2" t="s">
        <v>24</v>
      </c>
      <c r="D447" s="2" t="s">
        <v>20</v>
      </c>
      <c r="E447" s="2" t="s">
        <v>14</v>
      </c>
      <c r="F447" s="2" t="s">
        <v>22</v>
      </c>
      <c r="G447" s="3" t="n">
        <v>11422</v>
      </c>
      <c r="H447" s="4" t="n">
        <v>12.6</v>
      </c>
      <c r="I447" s="4" t="n">
        <f aca="false">G447*H447</f>
        <v>143917.2</v>
      </c>
    </row>
    <row r="448" customFormat="false" ht="15" hidden="false" customHeight="false" outlineLevel="0" collapsed="false">
      <c r="A448" s="2" t="s">
        <v>43</v>
      </c>
      <c r="B448" s="2" t="n">
        <v>8</v>
      </c>
      <c r="C448" s="2" t="s">
        <v>24</v>
      </c>
      <c r="D448" s="2" t="s">
        <v>20</v>
      </c>
      <c r="E448" s="2" t="s">
        <v>15</v>
      </c>
      <c r="F448" s="2" t="s">
        <v>22</v>
      </c>
      <c r="G448" s="3" t="n">
        <v>14052</v>
      </c>
      <c r="H448" s="4" t="n">
        <v>12</v>
      </c>
      <c r="I448" s="4" t="n">
        <f aca="false">G448*H448</f>
        <v>168624</v>
      </c>
    </row>
    <row r="449" customFormat="false" ht="15" hidden="false" customHeight="false" outlineLevel="0" collapsed="false">
      <c r="A449" s="2" t="s">
        <v>43</v>
      </c>
      <c r="B449" s="2" t="n">
        <v>8</v>
      </c>
      <c r="C449" s="2" t="s">
        <v>24</v>
      </c>
      <c r="D449" s="2" t="s">
        <v>20</v>
      </c>
      <c r="E449" s="2" t="s">
        <v>16</v>
      </c>
      <c r="F449" s="2" t="s">
        <v>22</v>
      </c>
      <c r="G449" s="3" t="n">
        <v>15863</v>
      </c>
      <c r="H449" s="4" t="n">
        <v>9.36</v>
      </c>
      <c r="I449" s="4" t="n">
        <f aca="false">G449*H449</f>
        <v>148477.68</v>
      </c>
    </row>
    <row r="450" customFormat="false" ht="15" hidden="false" customHeight="false" outlineLevel="0" collapsed="false">
      <c r="A450" s="2" t="s">
        <v>43</v>
      </c>
      <c r="B450" s="2" t="n">
        <v>8</v>
      </c>
      <c r="C450" s="2" t="s">
        <v>25</v>
      </c>
      <c r="D450" s="2" t="s">
        <v>20</v>
      </c>
      <c r="E450" s="2" t="s">
        <v>12</v>
      </c>
      <c r="F450" s="2" t="s">
        <v>22</v>
      </c>
      <c r="G450" s="3" t="n">
        <v>36580</v>
      </c>
      <c r="H450" s="4" t="n">
        <v>8.1</v>
      </c>
      <c r="I450" s="4" t="n">
        <f aca="false">G450*H450</f>
        <v>296298</v>
      </c>
    </row>
    <row r="451" customFormat="false" ht="15" hidden="false" customHeight="false" outlineLevel="0" collapsed="false">
      <c r="A451" s="2" t="s">
        <v>43</v>
      </c>
      <c r="B451" s="2" t="n">
        <v>8</v>
      </c>
      <c r="C451" s="2" t="s">
        <v>25</v>
      </c>
      <c r="D451" s="2" t="s">
        <v>20</v>
      </c>
      <c r="E451" s="2" t="s">
        <v>14</v>
      </c>
      <c r="F451" s="2" t="s">
        <v>22</v>
      </c>
      <c r="G451" s="3" t="n">
        <v>15646</v>
      </c>
      <c r="H451" s="4" t="n">
        <v>9.45</v>
      </c>
      <c r="I451" s="4" t="n">
        <f aca="false">G451*H451</f>
        <v>147854.7</v>
      </c>
    </row>
    <row r="452" customFormat="false" ht="15" hidden="false" customHeight="false" outlineLevel="0" collapsed="false">
      <c r="A452" s="2" t="s">
        <v>43</v>
      </c>
      <c r="B452" s="2" t="n">
        <v>8</v>
      </c>
      <c r="C452" s="2" t="s">
        <v>25</v>
      </c>
      <c r="D452" s="2" t="s">
        <v>20</v>
      </c>
      <c r="E452" s="2" t="s">
        <v>15</v>
      </c>
      <c r="F452" s="2" t="s">
        <v>22</v>
      </c>
      <c r="G452" s="3" t="n">
        <v>18777</v>
      </c>
      <c r="H452" s="4" t="n">
        <v>9</v>
      </c>
      <c r="I452" s="4" t="n">
        <f aca="false">G452*H452</f>
        <v>168993</v>
      </c>
    </row>
    <row r="453" customFormat="false" ht="15" hidden="false" customHeight="false" outlineLevel="0" collapsed="false">
      <c r="A453" s="2" t="s">
        <v>43</v>
      </c>
      <c r="B453" s="2" t="n">
        <v>8</v>
      </c>
      <c r="C453" s="2" t="s">
        <v>25</v>
      </c>
      <c r="D453" s="2" t="s">
        <v>20</v>
      </c>
      <c r="E453" s="2" t="s">
        <v>16</v>
      </c>
      <c r="F453" s="2" t="s">
        <v>22</v>
      </c>
      <c r="G453" s="3" t="n">
        <v>19649</v>
      </c>
      <c r="H453" s="4" t="n">
        <v>7.02</v>
      </c>
      <c r="I453" s="4" t="n">
        <f aca="false">G453*H453</f>
        <v>137935.98</v>
      </c>
    </row>
    <row r="454" customFormat="false" ht="15" hidden="false" customHeight="false" outlineLevel="0" collapsed="false">
      <c r="A454" s="2" t="s">
        <v>43</v>
      </c>
      <c r="B454" s="2" t="n">
        <v>8</v>
      </c>
      <c r="C454" s="2" t="s">
        <v>26</v>
      </c>
      <c r="D454" s="2" t="s">
        <v>20</v>
      </c>
      <c r="E454" s="2" t="s">
        <v>12</v>
      </c>
      <c r="F454" s="2" t="s">
        <v>22</v>
      </c>
      <c r="G454" s="3" t="n">
        <v>21359</v>
      </c>
      <c r="H454" s="4" t="n">
        <v>14.4</v>
      </c>
      <c r="I454" s="4" t="n">
        <f aca="false">G454*H454</f>
        <v>307569.6</v>
      </c>
    </row>
    <row r="455" customFormat="false" ht="15" hidden="false" customHeight="false" outlineLevel="0" collapsed="false">
      <c r="A455" s="2" t="s">
        <v>43</v>
      </c>
      <c r="B455" s="2" t="n">
        <v>8</v>
      </c>
      <c r="C455" s="2" t="s">
        <v>26</v>
      </c>
      <c r="D455" s="2" t="s">
        <v>20</v>
      </c>
      <c r="E455" s="2" t="s">
        <v>14</v>
      </c>
      <c r="F455" s="2" t="s">
        <v>22</v>
      </c>
      <c r="G455" s="3" t="n">
        <v>8601</v>
      </c>
      <c r="H455" s="4" t="n">
        <v>16.8</v>
      </c>
      <c r="I455" s="4" t="n">
        <f aca="false">G455*H455</f>
        <v>144496.8</v>
      </c>
    </row>
    <row r="456" customFormat="false" ht="15" hidden="false" customHeight="false" outlineLevel="0" collapsed="false">
      <c r="A456" s="2" t="s">
        <v>43</v>
      </c>
      <c r="B456" s="2" t="n">
        <v>8</v>
      </c>
      <c r="C456" s="2" t="s">
        <v>26</v>
      </c>
      <c r="D456" s="2" t="s">
        <v>20</v>
      </c>
      <c r="E456" s="2" t="s">
        <v>15</v>
      </c>
      <c r="F456" s="2" t="s">
        <v>22</v>
      </c>
      <c r="G456" s="3" t="n">
        <v>11706</v>
      </c>
      <c r="H456" s="4" t="n">
        <v>16</v>
      </c>
      <c r="I456" s="4" t="n">
        <f aca="false">G456*H456</f>
        <v>187296</v>
      </c>
    </row>
    <row r="457" customFormat="false" ht="15" hidden="false" customHeight="false" outlineLevel="0" collapsed="false">
      <c r="A457" s="2" t="s">
        <v>43</v>
      </c>
      <c r="B457" s="2" t="n">
        <v>8</v>
      </c>
      <c r="C457" s="2" t="s">
        <v>26</v>
      </c>
      <c r="D457" s="2" t="s">
        <v>20</v>
      </c>
      <c r="E457" s="2" t="s">
        <v>16</v>
      </c>
      <c r="F457" s="2" t="s">
        <v>22</v>
      </c>
      <c r="G457" s="3" t="n">
        <v>12015</v>
      </c>
      <c r="H457" s="4" t="n">
        <v>12.48</v>
      </c>
      <c r="I457" s="4" t="n">
        <f aca="false">G457*H457</f>
        <v>149947.2</v>
      </c>
    </row>
    <row r="458" customFormat="false" ht="15" hidden="false" customHeight="false" outlineLevel="0" collapsed="false">
      <c r="A458" s="2" t="s">
        <v>43</v>
      </c>
      <c r="B458" s="2" t="n">
        <v>8</v>
      </c>
      <c r="C458" s="2" t="s">
        <v>27</v>
      </c>
      <c r="D458" s="2" t="s">
        <v>28</v>
      </c>
      <c r="E458" s="2" t="s">
        <v>12</v>
      </c>
      <c r="F458" s="2" t="s">
        <v>29</v>
      </c>
      <c r="G458" s="3" t="n">
        <v>13024</v>
      </c>
      <c r="H458" s="4" t="n">
        <v>43.2</v>
      </c>
      <c r="I458" s="4" t="n">
        <f aca="false">G458*H458</f>
        <v>562636.8</v>
      </c>
    </row>
    <row r="459" customFormat="false" ht="15" hidden="false" customHeight="false" outlineLevel="0" collapsed="false">
      <c r="A459" s="2" t="s">
        <v>43</v>
      </c>
      <c r="B459" s="2" t="n">
        <v>8</v>
      </c>
      <c r="C459" s="2" t="s">
        <v>27</v>
      </c>
      <c r="D459" s="2" t="s">
        <v>28</v>
      </c>
      <c r="E459" s="2" t="s">
        <v>14</v>
      </c>
      <c r="F459" s="2" t="s">
        <v>29</v>
      </c>
      <c r="G459" s="3" t="n">
        <v>6051</v>
      </c>
      <c r="H459" s="4" t="n">
        <v>50.4</v>
      </c>
      <c r="I459" s="4" t="n">
        <f aca="false">G459*H459</f>
        <v>304970.4</v>
      </c>
    </row>
    <row r="460" customFormat="false" ht="15" hidden="false" customHeight="false" outlineLevel="0" collapsed="false">
      <c r="A460" s="2" t="s">
        <v>43</v>
      </c>
      <c r="B460" s="2" t="n">
        <v>8</v>
      </c>
      <c r="C460" s="2" t="s">
        <v>27</v>
      </c>
      <c r="D460" s="2" t="s">
        <v>28</v>
      </c>
      <c r="E460" s="2" t="s">
        <v>15</v>
      </c>
      <c r="F460" s="2" t="s">
        <v>29</v>
      </c>
      <c r="G460" s="3" t="n">
        <v>6960</v>
      </c>
      <c r="H460" s="4" t="n">
        <v>48</v>
      </c>
      <c r="I460" s="4" t="n">
        <f aca="false">G460*H460</f>
        <v>334080</v>
      </c>
    </row>
    <row r="461" customFormat="false" ht="15" hidden="false" customHeight="false" outlineLevel="0" collapsed="false">
      <c r="A461" s="2" t="s">
        <v>43</v>
      </c>
      <c r="B461" s="2" t="n">
        <v>8</v>
      </c>
      <c r="C461" s="2" t="s">
        <v>27</v>
      </c>
      <c r="D461" s="2" t="s">
        <v>28</v>
      </c>
      <c r="E461" s="2" t="s">
        <v>16</v>
      </c>
      <c r="F461" s="2" t="s">
        <v>29</v>
      </c>
      <c r="G461" s="3" t="n">
        <v>7631</v>
      </c>
      <c r="H461" s="4" t="n">
        <v>37.44</v>
      </c>
      <c r="I461" s="4" t="n">
        <f aca="false">G461*H461</f>
        <v>285704.64</v>
      </c>
    </row>
    <row r="462" customFormat="false" ht="15" hidden="false" customHeight="false" outlineLevel="0" collapsed="false">
      <c r="A462" s="2" t="s">
        <v>43</v>
      </c>
      <c r="B462" s="2" t="n">
        <v>8</v>
      </c>
      <c r="C462" s="2" t="s">
        <v>30</v>
      </c>
      <c r="D462" s="2" t="s">
        <v>28</v>
      </c>
      <c r="E462" s="2" t="s">
        <v>12</v>
      </c>
      <c r="F462" s="2" t="s">
        <v>29</v>
      </c>
      <c r="G462" s="3" t="n">
        <v>4699</v>
      </c>
      <c r="H462" s="4" t="n">
        <v>108</v>
      </c>
      <c r="I462" s="4" t="n">
        <f aca="false">G462*H462</f>
        <v>507492</v>
      </c>
    </row>
    <row r="463" customFormat="false" ht="15" hidden="false" customHeight="false" outlineLevel="0" collapsed="false">
      <c r="A463" s="2" t="s">
        <v>43</v>
      </c>
      <c r="B463" s="2" t="n">
        <v>8</v>
      </c>
      <c r="C463" s="2" t="s">
        <v>30</v>
      </c>
      <c r="D463" s="2" t="s">
        <v>28</v>
      </c>
      <c r="E463" s="2" t="s">
        <v>14</v>
      </c>
      <c r="F463" s="2" t="s">
        <v>29</v>
      </c>
      <c r="G463" s="3" t="n">
        <v>2145</v>
      </c>
      <c r="H463" s="4" t="n">
        <v>126</v>
      </c>
      <c r="I463" s="4" t="n">
        <f aca="false">G463*H463</f>
        <v>270270</v>
      </c>
    </row>
    <row r="464" customFormat="false" ht="15" hidden="false" customHeight="false" outlineLevel="0" collapsed="false">
      <c r="A464" s="2" t="s">
        <v>43</v>
      </c>
      <c r="B464" s="2" t="n">
        <v>8</v>
      </c>
      <c r="C464" s="2" t="s">
        <v>30</v>
      </c>
      <c r="D464" s="2" t="s">
        <v>28</v>
      </c>
      <c r="E464" s="2" t="s">
        <v>15</v>
      </c>
      <c r="F464" s="2" t="s">
        <v>29</v>
      </c>
      <c r="G464" s="3" t="n">
        <v>2441</v>
      </c>
      <c r="H464" s="4" t="n">
        <v>120</v>
      </c>
      <c r="I464" s="4" t="n">
        <f aca="false">G464*H464</f>
        <v>292920</v>
      </c>
    </row>
    <row r="465" customFormat="false" ht="15" hidden="false" customHeight="false" outlineLevel="0" collapsed="false">
      <c r="A465" s="2" t="s">
        <v>43</v>
      </c>
      <c r="B465" s="2" t="n">
        <v>8</v>
      </c>
      <c r="C465" s="2" t="s">
        <v>30</v>
      </c>
      <c r="D465" s="2" t="s">
        <v>28</v>
      </c>
      <c r="E465" s="2" t="s">
        <v>16</v>
      </c>
      <c r="F465" s="2" t="s">
        <v>29</v>
      </c>
      <c r="G465" s="3" t="n">
        <v>2892</v>
      </c>
      <c r="H465" s="4" t="n">
        <v>93.6</v>
      </c>
      <c r="I465" s="4" t="n">
        <f aca="false">G465*H465</f>
        <v>270691.2</v>
      </c>
    </row>
    <row r="466" customFormat="false" ht="15" hidden="false" customHeight="false" outlineLevel="0" collapsed="false">
      <c r="A466" s="2" t="s">
        <v>43</v>
      </c>
      <c r="B466" s="2" t="n">
        <v>8</v>
      </c>
      <c r="C466" s="2" t="s">
        <v>31</v>
      </c>
      <c r="D466" s="2" t="s">
        <v>28</v>
      </c>
      <c r="E466" s="2" t="s">
        <v>12</v>
      </c>
      <c r="F466" s="2" t="s">
        <v>29</v>
      </c>
      <c r="G466" s="3" t="n">
        <v>6425</v>
      </c>
      <c r="H466" s="4" t="n">
        <v>85.5</v>
      </c>
      <c r="I466" s="4" t="n">
        <f aca="false">G466*H466</f>
        <v>549337.5</v>
      </c>
    </row>
    <row r="467" customFormat="false" ht="15" hidden="false" customHeight="false" outlineLevel="0" collapsed="false">
      <c r="A467" s="2" t="s">
        <v>43</v>
      </c>
      <c r="B467" s="2" t="n">
        <v>8</v>
      </c>
      <c r="C467" s="2" t="s">
        <v>31</v>
      </c>
      <c r="D467" s="2" t="s">
        <v>28</v>
      </c>
      <c r="E467" s="2" t="s">
        <v>14</v>
      </c>
      <c r="F467" s="2" t="s">
        <v>29</v>
      </c>
      <c r="G467" s="3" t="n">
        <v>2473</v>
      </c>
      <c r="H467" s="4" t="n">
        <v>99.75</v>
      </c>
      <c r="I467" s="4" t="n">
        <f aca="false">G467*H467</f>
        <v>246681.75</v>
      </c>
    </row>
    <row r="468" customFormat="false" ht="15" hidden="false" customHeight="false" outlineLevel="0" collapsed="false">
      <c r="A468" s="2" t="s">
        <v>43</v>
      </c>
      <c r="B468" s="2" t="n">
        <v>8</v>
      </c>
      <c r="C468" s="2" t="s">
        <v>31</v>
      </c>
      <c r="D468" s="2" t="s">
        <v>28</v>
      </c>
      <c r="E468" s="2" t="s">
        <v>15</v>
      </c>
      <c r="F468" s="2" t="s">
        <v>29</v>
      </c>
      <c r="G468" s="3" t="n">
        <v>3244</v>
      </c>
      <c r="H468" s="4" t="n">
        <v>95</v>
      </c>
      <c r="I468" s="4" t="n">
        <f aca="false">G468*H468</f>
        <v>308180</v>
      </c>
    </row>
    <row r="469" customFormat="false" ht="15" hidden="false" customHeight="false" outlineLevel="0" collapsed="false">
      <c r="A469" s="2" t="s">
        <v>43</v>
      </c>
      <c r="B469" s="2" t="n">
        <v>8</v>
      </c>
      <c r="C469" s="2" t="s">
        <v>31</v>
      </c>
      <c r="D469" s="2" t="s">
        <v>28</v>
      </c>
      <c r="E469" s="2" t="s">
        <v>16</v>
      </c>
      <c r="F469" s="2" t="s">
        <v>29</v>
      </c>
      <c r="G469" s="3" t="n">
        <v>3606</v>
      </c>
      <c r="H469" s="4" t="n">
        <v>74.1</v>
      </c>
      <c r="I469" s="4" t="n">
        <f aca="false">G469*H469</f>
        <v>267204.6</v>
      </c>
    </row>
    <row r="470" customFormat="false" ht="15" hidden="false" customHeight="false" outlineLevel="0" collapsed="false">
      <c r="A470" s="2" t="s">
        <v>43</v>
      </c>
      <c r="B470" s="2" t="n">
        <v>8</v>
      </c>
      <c r="C470" s="2" t="s">
        <v>32</v>
      </c>
      <c r="D470" s="2" t="s">
        <v>28</v>
      </c>
      <c r="E470" s="2" t="s">
        <v>12</v>
      </c>
      <c r="F470" s="2" t="s">
        <v>29</v>
      </c>
      <c r="G470" s="3" t="n">
        <v>8268</v>
      </c>
      <c r="H470" s="4" t="n">
        <v>61.2</v>
      </c>
      <c r="I470" s="4" t="n">
        <f aca="false">G470*H470</f>
        <v>506001.6</v>
      </c>
    </row>
    <row r="471" customFormat="false" ht="15" hidden="false" customHeight="false" outlineLevel="0" collapsed="false">
      <c r="A471" s="2" t="s">
        <v>43</v>
      </c>
      <c r="B471" s="2" t="n">
        <v>8</v>
      </c>
      <c r="C471" s="2" t="s">
        <v>32</v>
      </c>
      <c r="D471" s="2" t="s">
        <v>28</v>
      </c>
      <c r="E471" s="2" t="s">
        <v>14</v>
      </c>
      <c r="F471" s="2" t="s">
        <v>29</v>
      </c>
      <c r="G471" s="3" t="n">
        <v>3770</v>
      </c>
      <c r="H471" s="4" t="n">
        <v>71.4</v>
      </c>
      <c r="I471" s="4" t="n">
        <f aca="false">G471*H471</f>
        <v>269178</v>
      </c>
    </row>
    <row r="472" customFormat="false" ht="15" hidden="false" customHeight="false" outlineLevel="0" collapsed="false">
      <c r="A472" s="2" t="s">
        <v>43</v>
      </c>
      <c r="B472" s="2" t="n">
        <v>8</v>
      </c>
      <c r="C472" s="2" t="s">
        <v>32</v>
      </c>
      <c r="D472" s="2" t="s">
        <v>28</v>
      </c>
      <c r="E472" s="2" t="s">
        <v>15</v>
      </c>
      <c r="F472" s="2" t="s">
        <v>29</v>
      </c>
      <c r="G472" s="3" t="n">
        <v>4369</v>
      </c>
      <c r="H472" s="4" t="n">
        <v>68</v>
      </c>
      <c r="I472" s="4" t="n">
        <f aca="false">G472*H472</f>
        <v>297092</v>
      </c>
    </row>
    <row r="473" customFormat="false" ht="15" hidden="false" customHeight="false" outlineLevel="0" collapsed="false">
      <c r="A473" s="2" t="s">
        <v>43</v>
      </c>
      <c r="B473" s="2" t="n">
        <v>8</v>
      </c>
      <c r="C473" s="2" t="s">
        <v>32</v>
      </c>
      <c r="D473" s="2" t="s">
        <v>28</v>
      </c>
      <c r="E473" s="2" t="s">
        <v>16</v>
      </c>
      <c r="F473" s="2" t="s">
        <v>29</v>
      </c>
      <c r="G473" s="3" t="n">
        <v>4942</v>
      </c>
      <c r="H473" s="4" t="n">
        <v>53.04</v>
      </c>
      <c r="I473" s="4" t="n">
        <f aca="false">G473*H473</f>
        <v>262123.68</v>
      </c>
    </row>
    <row r="474" customFormat="false" ht="15" hidden="false" customHeight="false" outlineLevel="0" collapsed="false">
      <c r="A474" s="2" t="s">
        <v>43</v>
      </c>
      <c r="B474" s="2" t="n">
        <v>8</v>
      </c>
      <c r="C474" s="2" t="s">
        <v>33</v>
      </c>
      <c r="D474" s="2" t="s">
        <v>34</v>
      </c>
      <c r="E474" s="2" t="s">
        <v>12</v>
      </c>
      <c r="F474" s="2" t="s">
        <v>35</v>
      </c>
      <c r="G474" s="3" t="n">
        <v>10331</v>
      </c>
      <c r="H474" s="4" t="n">
        <v>31.5</v>
      </c>
      <c r="I474" s="4" t="n">
        <f aca="false">G474*H474</f>
        <v>325426.5</v>
      </c>
    </row>
    <row r="475" customFormat="false" ht="15" hidden="false" customHeight="false" outlineLevel="0" collapsed="false">
      <c r="A475" s="2" t="s">
        <v>43</v>
      </c>
      <c r="B475" s="2" t="n">
        <v>8</v>
      </c>
      <c r="C475" s="2" t="s">
        <v>33</v>
      </c>
      <c r="D475" s="2" t="s">
        <v>34</v>
      </c>
      <c r="E475" s="2" t="s">
        <v>14</v>
      </c>
      <c r="F475" s="2" t="s">
        <v>35</v>
      </c>
      <c r="G475" s="3" t="n">
        <v>4736</v>
      </c>
      <c r="H475" s="4" t="n">
        <v>36.75</v>
      </c>
      <c r="I475" s="4" t="n">
        <f aca="false">G475*H475</f>
        <v>174048</v>
      </c>
    </row>
    <row r="476" customFormat="false" ht="15" hidden="false" customHeight="false" outlineLevel="0" collapsed="false">
      <c r="A476" s="2" t="s">
        <v>43</v>
      </c>
      <c r="B476" s="2" t="n">
        <v>8</v>
      </c>
      <c r="C476" s="2" t="s">
        <v>33</v>
      </c>
      <c r="D476" s="2" t="s">
        <v>34</v>
      </c>
      <c r="E476" s="2" t="s">
        <v>15</v>
      </c>
      <c r="F476" s="2" t="s">
        <v>35</v>
      </c>
      <c r="G476" s="3" t="n">
        <v>5844</v>
      </c>
      <c r="H476" s="4" t="n">
        <v>35</v>
      </c>
      <c r="I476" s="4" t="n">
        <f aca="false">G476*H476</f>
        <v>204540</v>
      </c>
    </row>
    <row r="477" customFormat="false" ht="15" hidden="false" customHeight="false" outlineLevel="0" collapsed="false">
      <c r="A477" s="2" t="s">
        <v>43</v>
      </c>
      <c r="B477" s="2" t="n">
        <v>8</v>
      </c>
      <c r="C477" s="2" t="s">
        <v>33</v>
      </c>
      <c r="D477" s="2" t="s">
        <v>34</v>
      </c>
      <c r="E477" s="2" t="s">
        <v>16</v>
      </c>
      <c r="F477" s="2" t="s">
        <v>35</v>
      </c>
      <c r="G477" s="3" t="n">
        <v>5989</v>
      </c>
      <c r="H477" s="4" t="n">
        <v>27.3</v>
      </c>
      <c r="I477" s="4" t="n">
        <f aca="false">G477*H477</f>
        <v>163499.7</v>
      </c>
    </row>
    <row r="478" customFormat="false" ht="15" hidden="false" customHeight="false" outlineLevel="0" collapsed="false">
      <c r="A478" s="2" t="s">
        <v>43</v>
      </c>
      <c r="B478" s="2" t="n">
        <v>8</v>
      </c>
      <c r="C478" s="2" t="s">
        <v>36</v>
      </c>
      <c r="D478" s="2" t="s">
        <v>34</v>
      </c>
      <c r="E478" s="2" t="s">
        <v>12</v>
      </c>
      <c r="F478" s="2" t="s">
        <v>35</v>
      </c>
      <c r="G478" s="3" t="n">
        <v>7328</v>
      </c>
      <c r="H478" s="4" t="n">
        <v>39.6</v>
      </c>
      <c r="I478" s="4" t="n">
        <f aca="false">G478*H478</f>
        <v>290188.8</v>
      </c>
    </row>
    <row r="479" customFormat="false" ht="15" hidden="false" customHeight="false" outlineLevel="0" collapsed="false">
      <c r="A479" s="2" t="s">
        <v>43</v>
      </c>
      <c r="B479" s="2" t="n">
        <v>8</v>
      </c>
      <c r="C479" s="2" t="s">
        <v>36</v>
      </c>
      <c r="D479" s="2" t="s">
        <v>34</v>
      </c>
      <c r="E479" s="2" t="s">
        <v>14</v>
      </c>
      <c r="F479" s="2" t="s">
        <v>35</v>
      </c>
      <c r="G479" s="3" t="n">
        <v>3021</v>
      </c>
      <c r="H479" s="4" t="n">
        <v>46.2</v>
      </c>
      <c r="I479" s="4" t="n">
        <f aca="false">G479*H479</f>
        <v>139570.2</v>
      </c>
    </row>
    <row r="480" customFormat="false" ht="15" hidden="false" customHeight="false" outlineLevel="0" collapsed="false">
      <c r="A480" s="2" t="s">
        <v>43</v>
      </c>
      <c r="B480" s="2" t="n">
        <v>8</v>
      </c>
      <c r="C480" s="2" t="s">
        <v>36</v>
      </c>
      <c r="D480" s="2" t="s">
        <v>34</v>
      </c>
      <c r="E480" s="2" t="s">
        <v>15</v>
      </c>
      <c r="F480" s="2" t="s">
        <v>35</v>
      </c>
      <c r="G480" s="3" t="n">
        <v>3855</v>
      </c>
      <c r="H480" s="4" t="n">
        <v>44</v>
      </c>
      <c r="I480" s="4" t="n">
        <f aca="false">G480*H480</f>
        <v>169620</v>
      </c>
    </row>
    <row r="481" customFormat="false" ht="15" hidden="false" customHeight="false" outlineLevel="0" collapsed="false">
      <c r="A481" s="2" t="s">
        <v>43</v>
      </c>
      <c r="B481" s="2" t="n">
        <v>8</v>
      </c>
      <c r="C481" s="2" t="s">
        <v>36</v>
      </c>
      <c r="D481" s="2" t="s">
        <v>34</v>
      </c>
      <c r="E481" s="2" t="s">
        <v>16</v>
      </c>
      <c r="F481" s="2" t="s">
        <v>35</v>
      </c>
      <c r="G481" s="3" t="n">
        <v>4300</v>
      </c>
      <c r="H481" s="4" t="n">
        <v>34.32</v>
      </c>
      <c r="I481" s="4" t="n">
        <f aca="false">G481*H481</f>
        <v>147576</v>
      </c>
    </row>
    <row r="482" customFormat="false" ht="15" hidden="false" customHeight="false" outlineLevel="0" collapsed="false">
      <c r="A482" s="2" t="s">
        <v>44</v>
      </c>
      <c r="B482" s="2" t="n">
        <v>9</v>
      </c>
      <c r="C482" s="2" t="s">
        <v>10</v>
      </c>
      <c r="D482" s="2" t="s">
        <v>11</v>
      </c>
      <c r="E482" s="2" t="s">
        <v>12</v>
      </c>
      <c r="F482" s="2" t="s">
        <v>13</v>
      </c>
      <c r="G482" s="3" t="n">
        <v>4627</v>
      </c>
      <c r="H482" s="4" t="n">
        <v>37.8</v>
      </c>
      <c r="I482" s="4" t="n">
        <f aca="false">G482*H482</f>
        <v>174900.6</v>
      </c>
    </row>
    <row r="483" customFormat="false" ht="15" hidden="false" customHeight="false" outlineLevel="0" collapsed="false">
      <c r="A483" s="2" t="s">
        <v>44</v>
      </c>
      <c r="B483" s="2" t="n">
        <v>9</v>
      </c>
      <c r="C483" s="2" t="s">
        <v>10</v>
      </c>
      <c r="D483" s="2" t="s">
        <v>11</v>
      </c>
      <c r="E483" s="2" t="s">
        <v>14</v>
      </c>
      <c r="F483" s="2" t="s">
        <v>13</v>
      </c>
      <c r="G483" s="3" t="n">
        <v>11558</v>
      </c>
      <c r="H483" s="4" t="n">
        <v>44.1</v>
      </c>
      <c r="I483" s="4" t="n">
        <f aca="false">G483*H483</f>
        <v>509707.8</v>
      </c>
    </row>
    <row r="484" customFormat="false" ht="15" hidden="false" customHeight="false" outlineLevel="0" collapsed="false">
      <c r="A484" s="2" t="s">
        <v>44</v>
      </c>
      <c r="B484" s="2" t="n">
        <v>9</v>
      </c>
      <c r="C484" s="2" t="s">
        <v>10</v>
      </c>
      <c r="D484" s="2" t="s">
        <v>11</v>
      </c>
      <c r="E484" s="2" t="s">
        <v>15</v>
      </c>
      <c r="F484" s="2" t="s">
        <v>13</v>
      </c>
      <c r="G484" s="3" t="n">
        <v>13553</v>
      </c>
      <c r="H484" s="4" t="n">
        <v>42</v>
      </c>
      <c r="I484" s="4" t="n">
        <f aca="false">G484*H484</f>
        <v>569226</v>
      </c>
    </row>
    <row r="485" customFormat="false" ht="15" hidden="false" customHeight="false" outlineLevel="0" collapsed="false">
      <c r="A485" s="2" t="s">
        <v>44</v>
      </c>
      <c r="B485" s="2" t="n">
        <v>9</v>
      </c>
      <c r="C485" s="2" t="s">
        <v>10</v>
      </c>
      <c r="D485" s="2" t="s">
        <v>11</v>
      </c>
      <c r="E485" s="2" t="s">
        <v>16</v>
      </c>
      <c r="F485" s="2" t="s">
        <v>13</v>
      </c>
      <c r="G485" s="3" t="n">
        <v>17201</v>
      </c>
      <c r="H485" s="4" t="n">
        <v>32.76</v>
      </c>
      <c r="I485" s="4" t="n">
        <f aca="false">G485*H485</f>
        <v>563504.76</v>
      </c>
    </row>
    <row r="486" customFormat="false" ht="15" hidden="false" customHeight="false" outlineLevel="0" collapsed="false">
      <c r="A486" s="2" t="s">
        <v>44</v>
      </c>
      <c r="B486" s="2" t="n">
        <v>9</v>
      </c>
      <c r="C486" s="2" t="s">
        <v>17</v>
      </c>
      <c r="D486" s="2" t="s">
        <v>11</v>
      </c>
      <c r="E486" s="2" t="s">
        <v>12</v>
      </c>
      <c r="F486" s="2" t="s">
        <v>13</v>
      </c>
      <c r="G486" s="3" t="n">
        <v>16962</v>
      </c>
      <c r="H486" s="4" t="n">
        <v>34.2</v>
      </c>
      <c r="I486" s="4" t="n">
        <f aca="false">G486*H486</f>
        <v>580100.4</v>
      </c>
    </row>
    <row r="487" customFormat="false" ht="15" hidden="false" customHeight="false" outlineLevel="0" collapsed="false">
      <c r="A487" s="2" t="s">
        <v>44</v>
      </c>
      <c r="B487" s="2" t="n">
        <v>9</v>
      </c>
      <c r="C487" s="2" t="s">
        <v>17</v>
      </c>
      <c r="D487" s="2" t="s">
        <v>11</v>
      </c>
      <c r="E487" s="2" t="s">
        <v>14</v>
      </c>
      <c r="F487" s="2" t="s">
        <v>13</v>
      </c>
      <c r="G487" s="3" t="n">
        <v>7409</v>
      </c>
      <c r="H487" s="4" t="n">
        <v>39.9</v>
      </c>
      <c r="I487" s="4" t="n">
        <f aca="false">G487*H487</f>
        <v>295619.1</v>
      </c>
    </row>
    <row r="488" customFormat="false" ht="15" hidden="false" customHeight="false" outlineLevel="0" collapsed="false">
      <c r="A488" s="2" t="s">
        <v>44</v>
      </c>
      <c r="B488" s="2" t="n">
        <v>9</v>
      </c>
      <c r="C488" s="2" t="s">
        <v>17</v>
      </c>
      <c r="D488" s="2" t="s">
        <v>11</v>
      </c>
      <c r="E488" s="2" t="s">
        <v>15</v>
      </c>
      <c r="F488" s="2" t="s">
        <v>13</v>
      </c>
      <c r="G488" s="3" t="n">
        <v>9652</v>
      </c>
      <c r="H488" s="4" t="n">
        <v>38</v>
      </c>
      <c r="I488" s="4" t="n">
        <f aca="false">G488*H488</f>
        <v>366776</v>
      </c>
    </row>
    <row r="489" customFormat="false" ht="15" hidden="false" customHeight="false" outlineLevel="0" collapsed="false">
      <c r="A489" s="2" t="s">
        <v>44</v>
      </c>
      <c r="B489" s="2" t="n">
        <v>9</v>
      </c>
      <c r="C489" s="2" t="s">
        <v>17</v>
      </c>
      <c r="D489" s="2" t="s">
        <v>11</v>
      </c>
      <c r="E489" s="2" t="s">
        <v>16</v>
      </c>
      <c r="F489" s="2" t="s">
        <v>13</v>
      </c>
      <c r="G489" s="3" t="n">
        <v>10485</v>
      </c>
      <c r="H489" s="4" t="n">
        <v>29.64</v>
      </c>
      <c r="I489" s="4" t="n">
        <f aca="false">G489*H489</f>
        <v>310775.4</v>
      </c>
    </row>
    <row r="490" customFormat="false" ht="15" hidden="false" customHeight="false" outlineLevel="0" collapsed="false">
      <c r="A490" s="2" t="s">
        <v>44</v>
      </c>
      <c r="B490" s="2" t="n">
        <v>9</v>
      </c>
      <c r="C490" s="2" t="s">
        <v>18</v>
      </c>
      <c r="D490" s="2" t="s">
        <v>11</v>
      </c>
      <c r="E490" s="2" t="s">
        <v>12</v>
      </c>
      <c r="F490" s="2" t="s">
        <v>13</v>
      </c>
      <c r="G490" s="3" t="n">
        <v>9812</v>
      </c>
      <c r="H490" s="4" t="n">
        <v>49.5</v>
      </c>
      <c r="I490" s="4" t="n">
        <f aca="false">G490*H490</f>
        <v>485694</v>
      </c>
    </row>
    <row r="491" customFormat="false" ht="15" hidden="false" customHeight="false" outlineLevel="0" collapsed="false">
      <c r="A491" s="2" t="s">
        <v>44</v>
      </c>
      <c r="B491" s="2" t="n">
        <v>9</v>
      </c>
      <c r="C491" s="2" t="s">
        <v>18</v>
      </c>
      <c r="D491" s="2" t="s">
        <v>11</v>
      </c>
      <c r="E491" s="2" t="s">
        <v>14</v>
      </c>
      <c r="F491" s="2" t="s">
        <v>13</v>
      </c>
      <c r="G491" s="3" t="n">
        <v>4336</v>
      </c>
      <c r="H491" s="4" t="n">
        <v>57.75</v>
      </c>
      <c r="I491" s="4" t="n">
        <f aca="false">G491*H491</f>
        <v>250404</v>
      </c>
    </row>
    <row r="492" customFormat="false" ht="15" hidden="false" customHeight="false" outlineLevel="0" collapsed="false">
      <c r="A492" s="2" t="s">
        <v>44</v>
      </c>
      <c r="B492" s="2" t="n">
        <v>9</v>
      </c>
      <c r="C492" s="2" t="s">
        <v>18</v>
      </c>
      <c r="D492" s="2" t="s">
        <v>11</v>
      </c>
      <c r="E492" s="2" t="s">
        <v>15</v>
      </c>
      <c r="F492" s="2" t="s">
        <v>13</v>
      </c>
      <c r="G492" s="3" t="n">
        <v>5000</v>
      </c>
      <c r="H492" s="4" t="n">
        <v>55</v>
      </c>
      <c r="I492" s="4" t="n">
        <f aca="false">G492*H492</f>
        <v>275000</v>
      </c>
    </row>
    <row r="493" customFormat="false" ht="15" hidden="false" customHeight="false" outlineLevel="0" collapsed="false">
      <c r="A493" s="2" t="s">
        <v>44</v>
      </c>
      <c r="B493" s="2" t="n">
        <v>9</v>
      </c>
      <c r="C493" s="2" t="s">
        <v>18</v>
      </c>
      <c r="D493" s="2" t="s">
        <v>11</v>
      </c>
      <c r="E493" s="2" t="s">
        <v>16</v>
      </c>
      <c r="F493" s="2" t="s">
        <v>13</v>
      </c>
      <c r="G493" s="3" t="n">
        <v>6415</v>
      </c>
      <c r="H493" s="4" t="n">
        <v>42.9</v>
      </c>
      <c r="I493" s="4" t="n">
        <f aca="false">G493*H493</f>
        <v>275203.5</v>
      </c>
    </row>
    <row r="494" customFormat="false" ht="15" hidden="false" customHeight="false" outlineLevel="0" collapsed="false">
      <c r="A494" s="2" t="s">
        <v>44</v>
      </c>
      <c r="B494" s="2" t="n">
        <v>9</v>
      </c>
      <c r="C494" s="2" t="s">
        <v>19</v>
      </c>
      <c r="D494" s="2" t="s">
        <v>20</v>
      </c>
      <c r="E494" s="2" t="s">
        <v>12</v>
      </c>
      <c r="F494" s="2" t="s">
        <v>13</v>
      </c>
      <c r="G494" s="3" t="n">
        <v>20754</v>
      </c>
      <c r="H494" s="4" t="n">
        <v>23.4</v>
      </c>
      <c r="I494" s="4" t="n">
        <f aca="false">G494*H494</f>
        <v>485643.6</v>
      </c>
    </row>
    <row r="495" customFormat="false" ht="15" hidden="false" customHeight="false" outlineLevel="0" collapsed="false">
      <c r="A495" s="2" t="s">
        <v>44</v>
      </c>
      <c r="B495" s="2" t="n">
        <v>9</v>
      </c>
      <c r="C495" s="2" t="s">
        <v>19</v>
      </c>
      <c r="D495" s="2" t="s">
        <v>20</v>
      </c>
      <c r="E495" s="2" t="s">
        <v>14</v>
      </c>
      <c r="F495" s="2" t="s">
        <v>13</v>
      </c>
      <c r="G495" s="3" t="n">
        <v>8538</v>
      </c>
      <c r="H495" s="4" t="n">
        <v>27.3</v>
      </c>
      <c r="I495" s="4" t="n">
        <f aca="false">G495*H495</f>
        <v>233087.4</v>
      </c>
    </row>
    <row r="496" customFormat="false" ht="15" hidden="false" customHeight="false" outlineLevel="0" collapsed="false">
      <c r="A496" s="2" t="s">
        <v>44</v>
      </c>
      <c r="B496" s="2" t="n">
        <v>9</v>
      </c>
      <c r="C496" s="2" t="s">
        <v>19</v>
      </c>
      <c r="D496" s="2" t="s">
        <v>20</v>
      </c>
      <c r="E496" s="2" t="s">
        <v>15</v>
      </c>
      <c r="F496" s="2" t="s">
        <v>13</v>
      </c>
      <c r="G496" s="3" t="n">
        <v>10775</v>
      </c>
      <c r="H496" s="4" t="n">
        <v>26</v>
      </c>
      <c r="I496" s="4" t="n">
        <f aca="false">G496*H496</f>
        <v>280150</v>
      </c>
    </row>
    <row r="497" customFormat="false" ht="15" hidden="false" customHeight="false" outlineLevel="0" collapsed="false">
      <c r="A497" s="2" t="s">
        <v>44</v>
      </c>
      <c r="B497" s="2" t="n">
        <v>9</v>
      </c>
      <c r="C497" s="2" t="s">
        <v>19</v>
      </c>
      <c r="D497" s="2" t="s">
        <v>20</v>
      </c>
      <c r="E497" s="2" t="s">
        <v>16</v>
      </c>
      <c r="F497" s="2" t="s">
        <v>13</v>
      </c>
      <c r="G497" s="3" t="n">
        <v>12692</v>
      </c>
      <c r="H497" s="4" t="n">
        <v>20.28</v>
      </c>
      <c r="I497" s="4" t="n">
        <f aca="false">G497*H497</f>
        <v>257393.76</v>
      </c>
    </row>
    <row r="498" customFormat="false" ht="15" hidden="false" customHeight="false" outlineLevel="0" collapsed="false">
      <c r="A498" s="2" t="s">
        <v>44</v>
      </c>
      <c r="B498" s="2" t="n">
        <v>9</v>
      </c>
      <c r="C498" s="2" t="s">
        <v>21</v>
      </c>
      <c r="D498" s="2" t="s">
        <v>20</v>
      </c>
      <c r="E498" s="2" t="s">
        <v>12</v>
      </c>
      <c r="F498" s="2" t="s">
        <v>22</v>
      </c>
      <c r="G498" s="3" t="n">
        <v>0</v>
      </c>
      <c r="H498" s="4" t="n">
        <v>12.6</v>
      </c>
      <c r="I498" s="4" t="n">
        <f aca="false">G498*H498</f>
        <v>0</v>
      </c>
    </row>
    <row r="499" customFormat="false" ht="15" hidden="false" customHeight="false" outlineLevel="0" collapsed="false">
      <c r="A499" s="2" t="s">
        <v>44</v>
      </c>
      <c r="B499" s="2" t="n">
        <v>9</v>
      </c>
      <c r="C499" s="2" t="s">
        <v>21</v>
      </c>
      <c r="D499" s="2" t="s">
        <v>20</v>
      </c>
      <c r="E499" s="2" t="s">
        <v>14</v>
      </c>
      <c r="F499" s="2" t="s">
        <v>22</v>
      </c>
      <c r="G499" s="3" t="n">
        <v>0</v>
      </c>
      <c r="H499" s="4" t="n">
        <v>14.7</v>
      </c>
      <c r="I499" s="4" t="n">
        <f aca="false">G499*H499</f>
        <v>0</v>
      </c>
    </row>
    <row r="500" customFormat="false" ht="15" hidden="false" customHeight="false" outlineLevel="0" collapsed="false">
      <c r="A500" s="2" t="s">
        <v>44</v>
      </c>
      <c r="B500" s="2" t="n">
        <v>9</v>
      </c>
      <c r="C500" s="2" t="s">
        <v>21</v>
      </c>
      <c r="D500" s="2" t="s">
        <v>20</v>
      </c>
      <c r="E500" s="2" t="s">
        <v>15</v>
      </c>
      <c r="F500" s="2" t="s">
        <v>22</v>
      </c>
      <c r="G500" s="3" t="n">
        <v>0</v>
      </c>
      <c r="H500" s="4" t="n">
        <v>14</v>
      </c>
      <c r="I500" s="4" t="n">
        <f aca="false">G500*H500</f>
        <v>0</v>
      </c>
    </row>
    <row r="501" customFormat="false" ht="15" hidden="false" customHeight="false" outlineLevel="0" collapsed="false">
      <c r="A501" s="2" t="s">
        <v>44</v>
      </c>
      <c r="B501" s="2" t="n">
        <v>9</v>
      </c>
      <c r="C501" s="2" t="s">
        <v>21</v>
      </c>
      <c r="D501" s="2" t="s">
        <v>20</v>
      </c>
      <c r="E501" s="2" t="s">
        <v>16</v>
      </c>
      <c r="F501" s="2" t="s">
        <v>22</v>
      </c>
      <c r="G501" s="3" t="n">
        <v>0</v>
      </c>
      <c r="H501" s="4" t="n">
        <v>10.92</v>
      </c>
      <c r="I501" s="4" t="n">
        <f aca="false">G501*H501</f>
        <v>0</v>
      </c>
    </row>
    <row r="502" customFormat="false" ht="15" hidden="false" customHeight="false" outlineLevel="0" collapsed="false">
      <c r="A502" s="2" t="s">
        <v>44</v>
      </c>
      <c r="B502" s="2" t="n">
        <v>9</v>
      </c>
      <c r="C502" s="2" t="s">
        <v>23</v>
      </c>
      <c r="D502" s="2" t="s">
        <v>20</v>
      </c>
      <c r="E502" s="2" t="s">
        <v>12</v>
      </c>
      <c r="F502" s="2" t="s">
        <v>13</v>
      </c>
      <c r="G502" s="3" t="n">
        <v>8177</v>
      </c>
      <c r="H502" s="4" t="n">
        <v>27.9</v>
      </c>
      <c r="I502" s="4" t="n">
        <f aca="false">G502*H502</f>
        <v>228138.3</v>
      </c>
    </row>
    <row r="503" customFormat="false" ht="15" hidden="false" customHeight="false" outlineLevel="0" collapsed="false">
      <c r="A503" s="2" t="s">
        <v>44</v>
      </c>
      <c r="B503" s="2" t="n">
        <v>9</v>
      </c>
      <c r="C503" s="2" t="s">
        <v>23</v>
      </c>
      <c r="D503" s="2" t="s">
        <v>20</v>
      </c>
      <c r="E503" s="2" t="s">
        <v>14</v>
      </c>
      <c r="F503" s="2" t="s">
        <v>13</v>
      </c>
      <c r="G503" s="3" t="n">
        <v>3670</v>
      </c>
      <c r="H503" s="4" t="n">
        <v>32.55</v>
      </c>
      <c r="I503" s="4" t="n">
        <f aca="false">G503*H503</f>
        <v>119458.5</v>
      </c>
    </row>
    <row r="504" customFormat="false" ht="15" hidden="false" customHeight="false" outlineLevel="0" collapsed="false">
      <c r="A504" s="2" t="s">
        <v>44</v>
      </c>
      <c r="B504" s="2" t="n">
        <v>9</v>
      </c>
      <c r="C504" s="2" t="s">
        <v>23</v>
      </c>
      <c r="D504" s="2" t="s">
        <v>20</v>
      </c>
      <c r="E504" s="2" t="s">
        <v>15</v>
      </c>
      <c r="F504" s="2" t="s">
        <v>13</v>
      </c>
      <c r="G504" s="3" t="n">
        <v>4268</v>
      </c>
      <c r="H504" s="4" t="n">
        <v>31</v>
      </c>
      <c r="I504" s="4" t="n">
        <f aca="false">G504*H504</f>
        <v>132308</v>
      </c>
    </row>
    <row r="505" customFormat="false" ht="15" hidden="false" customHeight="false" outlineLevel="0" collapsed="false">
      <c r="A505" s="2" t="s">
        <v>44</v>
      </c>
      <c r="B505" s="2" t="n">
        <v>9</v>
      </c>
      <c r="C505" s="2" t="s">
        <v>23</v>
      </c>
      <c r="D505" s="2" t="s">
        <v>20</v>
      </c>
      <c r="E505" s="2" t="s">
        <v>16</v>
      </c>
      <c r="F505" s="2" t="s">
        <v>13</v>
      </c>
      <c r="G505" s="3" t="n">
        <v>4905</v>
      </c>
      <c r="H505" s="4" t="n">
        <v>24.18</v>
      </c>
      <c r="I505" s="4" t="n">
        <f aca="false">G505*H505</f>
        <v>118602.9</v>
      </c>
    </row>
    <row r="506" customFormat="false" ht="15" hidden="false" customHeight="false" outlineLevel="0" collapsed="false">
      <c r="A506" s="2" t="s">
        <v>44</v>
      </c>
      <c r="B506" s="2" t="n">
        <v>9</v>
      </c>
      <c r="C506" s="2" t="s">
        <v>24</v>
      </c>
      <c r="D506" s="2" t="s">
        <v>20</v>
      </c>
      <c r="E506" s="2" t="s">
        <v>12</v>
      </c>
      <c r="F506" s="2" t="s">
        <v>22</v>
      </c>
      <c r="G506" s="3" t="n">
        <v>27443</v>
      </c>
      <c r="H506" s="4" t="n">
        <v>10.8</v>
      </c>
      <c r="I506" s="4" t="n">
        <f aca="false">G506*H506</f>
        <v>296384.4</v>
      </c>
    </row>
    <row r="507" customFormat="false" ht="15" hidden="false" customHeight="false" outlineLevel="0" collapsed="false">
      <c r="A507" s="2" t="s">
        <v>44</v>
      </c>
      <c r="B507" s="2" t="n">
        <v>9</v>
      </c>
      <c r="C507" s="2" t="s">
        <v>24</v>
      </c>
      <c r="D507" s="2" t="s">
        <v>20</v>
      </c>
      <c r="E507" s="2" t="s">
        <v>14</v>
      </c>
      <c r="F507" s="2" t="s">
        <v>22</v>
      </c>
      <c r="G507" s="3" t="n">
        <v>12790</v>
      </c>
      <c r="H507" s="4" t="n">
        <v>12.6</v>
      </c>
      <c r="I507" s="4" t="n">
        <f aca="false">G507*H507</f>
        <v>161154</v>
      </c>
    </row>
    <row r="508" customFormat="false" ht="15" hidden="false" customHeight="false" outlineLevel="0" collapsed="false">
      <c r="A508" s="2" t="s">
        <v>44</v>
      </c>
      <c r="B508" s="2" t="n">
        <v>9</v>
      </c>
      <c r="C508" s="2" t="s">
        <v>24</v>
      </c>
      <c r="D508" s="2" t="s">
        <v>20</v>
      </c>
      <c r="E508" s="2" t="s">
        <v>15</v>
      </c>
      <c r="F508" s="2" t="s">
        <v>22</v>
      </c>
      <c r="G508" s="3" t="n">
        <v>14336</v>
      </c>
      <c r="H508" s="4" t="n">
        <v>12</v>
      </c>
      <c r="I508" s="4" t="n">
        <f aca="false">G508*H508</f>
        <v>172032</v>
      </c>
    </row>
    <row r="509" customFormat="false" ht="15" hidden="false" customHeight="false" outlineLevel="0" collapsed="false">
      <c r="A509" s="2" t="s">
        <v>44</v>
      </c>
      <c r="B509" s="2" t="n">
        <v>9</v>
      </c>
      <c r="C509" s="2" t="s">
        <v>24</v>
      </c>
      <c r="D509" s="2" t="s">
        <v>20</v>
      </c>
      <c r="E509" s="2" t="s">
        <v>16</v>
      </c>
      <c r="F509" s="2" t="s">
        <v>22</v>
      </c>
      <c r="G509" s="3" t="n">
        <v>18228</v>
      </c>
      <c r="H509" s="4" t="n">
        <v>9.36</v>
      </c>
      <c r="I509" s="4" t="n">
        <f aca="false">G509*H509</f>
        <v>170614.08</v>
      </c>
    </row>
    <row r="510" customFormat="false" ht="15" hidden="false" customHeight="false" outlineLevel="0" collapsed="false">
      <c r="A510" s="2" t="s">
        <v>44</v>
      </c>
      <c r="B510" s="2" t="n">
        <v>9</v>
      </c>
      <c r="C510" s="2" t="s">
        <v>25</v>
      </c>
      <c r="D510" s="2" t="s">
        <v>20</v>
      </c>
      <c r="E510" s="2" t="s">
        <v>12</v>
      </c>
      <c r="F510" s="2" t="s">
        <v>22</v>
      </c>
      <c r="G510" s="3" t="n">
        <v>36007</v>
      </c>
      <c r="H510" s="4" t="n">
        <v>8.1</v>
      </c>
      <c r="I510" s="4" t="n">
        <f aca="false">G510*H510</f>
        <v>291656.7</v>
      </c>
    </row>
    <row r="511" customFormat="false" ht="15" hidden="false" customHeight="false" outlineLevel="0" collapsed="false">
      <c r="A511" s="2" t="s">
        <v>44</v>
      </c>
      <c r="B511" s="2" t="n">
        <v>9</v>
      </c>
      <c r="C511" s="2" t="s">
        <v>25</v>
      </c>
      <c r="D511" s="2" t="s">
        <v>20</v>
      </c>
      <c r="E511" s="2" t="s">
        <v>14</v>
      </c>
      <c r="F511" s="2" t="s">
        <v>22</v>
      </c>
      <c r="G511" s="3" t="n">
        <v>16391</v>
      </c>
      <c r="H511" s="4" t="n">
        <v>9.45</v>
      </c>
      <c r="I511" s="4" t="n">
        <f aca="false">G511*H511</f>
        <v>154894.95</v>
      </c>
    </row>
    <row r="512" customFormat="false" ht="15" hidden="false" customHeight="false" outlineLevel="0" collapsed="false">
      <c r="A512" s="2" t="s">
        <v>44</v>
      </c>
      <c r="B512" s="2" t="n">
        <v>9</v>
      </c>
      <c r="C512" s="2" t="s">
        <v>25</v>
      </c>
      <c r="D512" s="2" t="s">
        <v>20</v>
      </c>
      <c r="E512" s="2" t="s">
        <v>15</v>
      </c>
      <c r="F512" s="2" t="s">
        <v>22</v>
      </c>
      <c r="G512" s="3" t="n">
        <v>19383</v>
      </c>
      <c r="H512" s="4" t="n">
        <v>9</v>
      </c>
      <c r="I512" s="4" t="n">
        <f aca="false">G512*H512</f>
        <v>174447</v>
      </c>
    </row>
    <row r="513" customFormat="false" ht="15" hidden="false" customHeight="false" outlineLevel="0" collapsed="false">
      <c r="A513" s="2" t="s">
        <v>44</v>
      </c>
      <c r="B513" s="2" t="n">
        <v>9</v>
      </c>
      <c r="C513" s="2" t="s">
        <v>25</v>
      </c>
      <c r="D513" s="2" t="s">
        <v>20</v>
      </c>
      <c r="E513" s="2" t="s">
        <v>16</v>
      </c>
      <c r="F513" s="2" t="s">
        <v>22</v>
      </c>
      <c r="G513" s="3" t="n">
        <v>22088</v>
      </c>
      <c r="H513" s="4" t="n">
        <v>7.02</v>
      </c>
      <c r="I513" s="4" t="n">
        <f aca="false">G513*H513</f>
        <v>155057.76</v>
      </c>
    </row>
    <row r="514" customFormat="false" ht="15" hidden="false" customHeight="false" outlineLevel="0" collapsed="false">
      <c r="A514" s="2" t="s">
        <v>44</v>
      </c>
      <c r="B514" s="2" t="n">
        <v>9</v>
      </c>
      <c r="C514" s="2" t="s">
        <v>26</v>
      </c>
      <c r="D514" s="2" t="s">
        <v>20</v>
      </c>
      <c r="E514" s="2" t="s">
        <v>12</v>
      </c>
      <c r="F514" s="2" t="s">
        <v>22</v>
      </c>
      <c r="G514" s="3" t="n">
        <v>21804</v>
      </c>
      <c r="H514" s="4" t="n">
        <v>14.4</v>
      </c>
      <c r="I514" s="4" t="n">
        <f aca="false">G514*H514</f>
        <v>313977.6</v>
      </c>
    </row>
    <row r="515" customFormat="false" ht="15" hidden="false" customHeight="false" outlineLevel="0" collapsed="false">
      <c r="A515" s="2" t="s">
        <v>44</v>
      </c>
      <c r="B515" s="2" t="n">
        <v>9</v>
      </c>
      <c r="C515" s="2" t="s">
        <v>26</v>
      </c>
      <c r="D515" s="2" t="s">
        <v>20</v>
      </c>
      <c r="E515" s="2" t="s">
        <v>14</v>
      </c>
      <c r="F515" s="2" t="s">
        <v>22</v>
      </c>
      <c r="G515" s="3" t="n">
        <v>9264</v>
      </c>
      <c r="H515" s="4" t="n">
        <v>16.8</v>
      </c>
      <c r="I515" s="4" t="n">
        <f aca="false">G515*H515</f>
        <v>155635.2</v>
      </c>
    </row>
    <row r="516" customFormat="false" ht="15" hidden="false" customHeight="false" outlineLevel="0" collapsed="false">
      <c r="A516" s="2" t="s">
        <v>44</v>
      </c>
      <c r="B516" s="2" t="n">
        <v>9</v>
      </c>
      <c r="C516" s="2" t="s">
        <v>26</v>
      </c>
      <c r="D516" s="2" t="s">
        <v>20</v>
      </c>
      <c r="E516" s="2" t="s">
        <v>15</v>
      </c>
      <c r="F516" s="2" t="s">
        <v>22</v>
      </c>
      <c r="G516" s="3" t="n">
        <v>11102</v>
      </c>
      <c r="H516" s="4" t="n">
        <v>16</v>
      </c>
      <c r="I516" s="4" t="n">
        <f aca="false">G516*H516</f>
        <v>177632</v>
      </c>
    </row>
    <row r="517" customFormat="false" ht="15" hidden="false" customHeight="false" outlineLevel="0" collapsed="false">
      <c r="A517" s="2" t="s">
        <v>44</v>
      </c>
      <c r="B517" s="2" t="n">
        <v>9</v>
      </c>
      <c r="C517" s="2" t="s">
        <v>26</v>
      </c>
      <c r="D517" s="2" t="s">
        <v>20</v>
      </c>
      <c r="E517" s="2" t="s">
        <v>16</v>
      </c>
      <c r="F517" s="2" t="s">
        <v>22</v>
      </c>
      <c r="G517" s="3" t="n">
        <v>13972</v>
      </c>
      <c r="H517" s="4" t="n">
        <v>12.48</v>
      </c>
      <c r="I517" s="4" t="n">
        <f aca="false">G517*H517</f>
        <v>174370.56</v>
      </c>
    </row>
    <row r="518" customFormat="false" ht="15" hidden="false" customHeight="false" outlineLevel="0" collapsed="false">
      <c r="A518" s="2" t="s">
        <v>44</v>
      </c>
      <c r="B518" s="2" t="n">
        <v>9</v>
      </c>
      <c r="C518" s="2" t="s">
        <v>27</v>
      </c>
      <c r="D518" s="2" t="s">
        <v>28</v>
      </c>
      <c r="E518" s="2" t="s">
        <v>12</v>
      </c>
      <c r="F518" s="2" t="s">
        <v>29</v>
      </c>
      <c r="G518" s="3" t="n">
        <v>15070</v>
      </c>
      <c r="H518" s="4" t="n">
        <v>43.2</v>
      </c>
      <c r="I518" s="4" t="n">
        <f aca="false">G518*H518</f>
        <v>651024</v>
      </c>
    </row>
    <row r="519" customFormat="false" ht="15" hidden="false" customHeight="false" outlineLevel="0" collapsed="false">
      <c r="A519" s="2" t="s">
        <v>44</v>
      </c>
      <c r="B519" s="2" t="n">
        <v>9</v>
      </c>
      <c r="C519" s="2" t="s">
        <v>27</v>
      </c>
      <c r="D519" s="2" t="s">
        <v>28</v>
      </c>
      <c r="E519" s="2" t="s">
        <v>14</v>
      </c>
      <c r="F519" s="2" t="s">
        <v>29</v>
      </c>
      <c r="G519" s="3" t="n">
        <v>6021</v>
      </c>
      <c r="H519" s="4" t="n">
        <v>50.4</v>
      </c>
      <c r="I519" s="4" t="n">
        <f aca="false">G519*H519</f>
        <v>303458.4</v>
      </c>
    </row>
    <row r="520" customFormat="false" ht="15" hidden="false" customHeight="false" outlineLevel="0" collapsed="false">
      <c r="A520" s="2" t="s">
        <v>44</v>
      </c>
      <c r="B520" s="2" t="n">
        <v>9</v>
      </c>
      <c r="C520" s="2" t="s">
        <v>27</v>
      </c>
      <c r="D520" s="2" t="s">
        <v>28</v>
      </c>
      <c r="E520" s="2" t="s">
        <v>15</v>
      </c>
      <c r="F520" s="2" t="s">
        <v>29</v>
      </c>
      <c r="G520" s="3" t="n">
        <v>7398</v>
      </c>
      <c r="H520" s="4" t="n">
        <v>48</v>
      </c>
      <c r="I520" s="4" t="n">
        <f aca="false">G520*H520</f>
        <v>355104</v>
      </c>
    </row>
    <row r="521" customFormat="false" ht="15" hidden="false" customHeight="false" outlineLevel="0" collapsed="false">
      <c r="A521" s="2" t="s">
        <v>44</v>
      </c>
      <c r="B521" s="2" t="n">
        <v>9</v>
      </c>
      <c r="C521" s="2" t="s">
        <v>27</v>
      </c>
      <c r="D521" s="2" t="s">
        <v>28</v>
      </c>
      <c r="E521" s="2" t="s">
        <v>16</v>
      </c>
      <c r="F521" s="2" t="s">
        <v>29</v>
      </c>
      <c r="G521" s="3" t="n">
        <v>8741</v>
      </c>
      <c r="H521" s="4" t="n">
        <v>37.44</v>
      </c>
      <c r="I521" s="4" t="n">
        <f aca="false">G521*H521</f>
        <v>327263.04</v>
      </c>
    </row>
    <row r="522" customFormat="false" ht="15" hidden="false" customHeight="false" outlineLevel="0" collapsed="false">
      <c r="A522" s="2" t="s">
        <v>44</v>
      </c>
      <c r="B522" s="2" t="n">
        <v>9</v>
      </c>
      <c r="C522" s="2" t="s">
        <v>30</v>
      </c>
      <c r="D522" s="2" t="s">
        <v>28</v>
      </c>
      <c r="E522" s="2" t="s">
        <v>12</v>
      </c>
      <c r="F522" s="2" t="s">
        <v>29</v>
      </c>
      <c r="G522" s="3" t="n">
        <v>4900</v>
      </c>
      <c r="H522" s="4" t="n">
        <v>108</v>
      </c>
      <c r="I522" s="4" t="n">
        <f aca="false">G522*H522</f>
        <v>529200</v>
      </c>
    </row>
    <row r="523" customFormat="false" ht="15" hidden="false" customHeight="false" outlineLevel="0" collapsed="false">
      <c r="A523" s="2" t="s">
        <v>44</v>
      </c>
      <c r="B523" s="2" t="n">
        <v>9</v>
      </c>
      <c r="C523" s="2" t="s">
        <v>30</v>
      </c>
      <c r="D523" s="2" t="s">
        <v>28</v>
      </c>
      <c r="E523" s="2" t="s">
        <v>14</v>
      </c>
      <c r="F523" s="2" t="s">
        <v>29</v>
      </c>
      <c r="G523" s="3" t="n">
        <v>2200</v>
      </c>
      <c r="H523" s="4" t="n">
        <v>126</v>
      </c>
      <c r="I523" s="4" t="n">
        <f aca="false">G523*H523</f>
        <v>277200</v>
      </c>
    </row>
    <row r="524" customFormat="false" ht="15" hidden="false" customHeight="false" outlineLevel="0" collapsed="false">
      <c r="A524" s="2" t="s">
        <v>44</v>
      </c>
      <c r="B524" s="2" t="n">
        <v>9</v>
      </c>
      <c r="C524" s="2" t="s">
        <v>30</v>
      </c>
      <c r="D524" s="2" t="s">
        <v>28</v>
      </c>
      <c r="E524" s="2" t="s">
        <v>15</v>
      </c>
      <c r="F524" s="2" t="s">
        <v>29</v>
      </c>
      <c r="G524" s="3" t="n">
        <v>2807</v>
      </c>
      <c r="H524" s="4" t="n">
        <v>120</v>
      </c>
      <c r="I524" s="4" t="n">
        <f aca="false">G524*H524</f>
        <v>336840</v>
      </c>
    </row>
    <row r="525" customFormat="false" ht="15" hidden="false" customHeight="false" outlineLevel="0" collapsed="false">
      <c r="A525" s="2" t="s">
        <v>44</v>
      </c>
      <c r="B525" s="2" t="n">
        <v>9</v>
      </c>
      <c r="C525" s="2" t="s">
        <v>30</v>
      </c>
      <c r="D525" s="2" t="s">
        <v>28</v>
      </c>
      <c r="E525" s="2" t="s">
        <v>16</v>
      </c>
      <c r="F525" s="2" t="s">
        <v>29</v>
      </c>
      <c r="G525" s="3" t="n">
        <v>3294</v>
      </c>
      <c r="H525" s="4" t="n">
        <v>93.6</v>
      </c>
      <c r="I525" s="4" t="n">
        <f aca="false">G525*H525</f>
        <v>308318.4</v>
      </c>
    </row>
    <row r="526" customFormat="false" ht="15" hidden="false" customHeight="false" outlineLevel="0" collapsed="false">
      <c r="A526" s="2" t="s">
        <v>44</v>
      </c>
      <c r="B526" s="2" t="n">
        <v>9</v>
      </c>
      <c r="C526" s="2" t="s">
        <v>31</v>
      </c>
      <c r="D526" s="2" t="s">
        <v>28</v>
      </c>
      <c r="E526" s="2" t="s">
        <v>12</v>
      </c>
      <c r="F526" s="2" t="s">
        <v>29</v>
      </c>
      <c r="G526" s="3" t="n">
        <v>6130</v>
      </c>
      <c r="H526" s="4" t="n">
        <v>85.5</v>
      </c>
      <c r="I526" s="4" t="n">
        <f aca="false">G526*H526</f>
        <v>524115</v>
      </c>
    </row>
    <row r="527" customFormat="false" ht="15" hidden="false" customHeight="false" outlineLevel="0" collapsed="false">
      <c r="A527" s="2" t="s">
        <v>44</v>
      </c>
      <c r="B527" s="2" t="n">
        <v>9</v>
      </c>
      <c r="C527" s="2" t="s">
        <v>31</v>
      </c>
      <c r="D527" s="2" t="s">
        <v>28</v>
      </c>
      <c r="E527" s="2" t="s">
        <v>14</v>
      </c>
      <c r="F527" s="2" t="s">
        <v>29</v>
      </c>
      <c r="G527" s="3" t="n">
        <v>2750</v>
      </c>
      <c r="H527" s="4" t="n">
        <v>99.75</v>
      </c>
      <c r="I527" s="4" t="n">
        <f aca="false">G527*H527</f>
        <v>274312.5</v>
      </c>
    </row>
    <row r="528" customFormat="false" ht="15" hidden="false" customHeight="false" outlineLevel="0" collapsed="false">
      <c r="A528" s="2" t="s">
        <v>44</v>
      </c>
      <c r="B528" s="2" t="n">
        <v>9</v>
      </c>
      <c r="C528" s="2" t="s">
        <v>31</v>
      </c>
      <c r="D528" s="2" t="s">
        <v>28</v>
      </c>
      <c r="E528" s="2" t="s">
        <v>15</v>
      </c>
      <c r="F528" s="2" t="s">
        <v>29</v>
      </c>
      <c r="G528" s="3" t="n">
        <v>3403</v>
      </c>
      <c r="H528" s="4" t="n">
        <v>95</v>
      </c>
      <c r="I528" s="4" t="n">
        <f aca="false">G528*H528</f>
        <v>323285</v>
      </c>
    </row>
    <row r="529" customFormat="false" ht="15" hidden="false" customHeight="false" outlineLevel="0" collapsed="false">
      <c r="A529" s="2" t="s">
        <v>44</v>
      </c>
      <c r="B529" s="2" t="n">
        <v>9</v>
      </c>
      <c r="C529" s="2" t="s">
        <v>31</v>
      </c>
      <c r="D529" s="2" t="s">
        <v>28</v>
      </c>
      <c r="E529" s="2" t="s">
        <v>16</v>
      </c>
      <c r="F529" s="2" t="s">
        <v>29</v>
      </c>
      <c r="G529" s="3" t="n">
        <v>4028</v>
      </c>
      <c r="H529" s="4" t="n">
        <v>74.1</v>
      </c>
      <c r="I529" s="4" t="n">
        <f aca="false">G529*H529</f>
        <v>298474.8</v>
      </c>
    </row>
    <row r="530" customFormat="false" ht="15" hidden="false" customHeight="false" outlineLevel="0" collapsed="false">
      <c r="A530" s="2" t="s">
        <v>44</v>
      </c>
      <c r="B530" s="2" t="n">
        <v>9</v>
      </c>
      <c r="C530" s="2" t="s">
        <v>32</v>
      </c>
      <c r="D530" s="2" t="s">
        <v>28</v>
      </c>
      <c r="E530" s="2" t="s">
        <v>12</v>
      </c>
      <c r="F530" s="2" t="s">
        <v>29</v>
      </c>
      <c r="G530" s="3" t="n">
        <v>9148</v>
      </c>
      <c r="H530" s="4" t="n">
        <v>61.2</v>
      </c>
      <c r="I530" s="4" t="n">
        <f aca="false">G530*H530</f>
        <v>559857.6</v>
      </c>
    </row>
    <row r="531" customFormat="false" ht="15" hidden="false" customHeight="false" outlineLevel="0" collapsed="false">
      <c r="A531" s="2" t="s">
        <v>44</v>
      </c>
      <c r="B531" s="2" t="n">
        <v>9</v>
      </c>
      <c r="C531" s="2" t="s">
        <v>32</v>
      </c>
      <c r="D531" s="2" t="s">
        <v>28</v>
      </c>
      <c r="E531" s="2" t="s">
        <v>14</v>
      </c>
      <c r="F531" s="2" t="s">
        <v>29</v>
      </c>
      <c r="G531" s="3" t="n">
        <v>3882</v>
      </c>
      <c r="H531" s="4" t="n">
        <v>71.4</v>
      </c>
      <c r="I531" s="4" t="n">
        <f aca="false">G531*H531</f>
        <v>277174.8</v>
      </c>
    </row>
    <row r="532" customFormat="false" ht="15" hidden="false" customHeight="false" outlineLevel="0" collapsed="false">
      <c r="A532" s="2" t="s">
        <v>44</v>
      </c>
      <c r="B532" s="2" t="n">
        <v>9</v>
      </c>
      <c r="C532" s="2" t="s">
        <v>32</v>
      </c>
      <c r="D532" s="2" t="s">
        <v>28</v>
      </c>
      <c r="E532" s="2" t="s">
        <v>15</v>
      </c>
      <c r="F532" s="2" t="s">
        <v>29</v>
      </c>
      <c r="G532" s="3" t="n">
        <v>4670</v>
      </c>
      <c r="H532" s="4" t="n">
        <v>68</v>
      </c>
      <c r="I532" s="4" t="n">
        <f aca="false">G532*H532</f>
        <v>317560</v>
      </c>
    </row>
    <row r="533" customFormat="false" ht="15" hidden="false" customHeight="false" outlineLevel="0" collapsed="false">
      <c r="A533" s="2" t="s">
        <v>44</v>
      </c>
      <c r="B533" s="2" t="n">
        <v>9</v>
      </c>
      <c r="C533" s="2" t="s">
        <v>32</v>
      </c>
      <c r="D533" s="2" t="s">
        <v>28</v>
      </c>
      <c r="E533" s="2" t="s">
        <v>16</v>
      </c>
      <c r="F533" s="2" t="s">
        <v>29</v>
      </c>
      <c r="G533" s="3" t="n">
        <v>5701</v>
      </c>
      <c r="H533" s="4" t="n">
        <v>53.04</v>
      </c>
      <c r="I533" s="4" t="n">
        <f aca="false">G533*H533</f>
        <v>302381.04</v>
      </c>
    </row>
    <row r="534" customFormat="false" ht="15" hidden="false" customHeight="false" outlineLevel="0" collapsed="false">
      <c r="A534" s="2" t="s">
        <v>44</v>
      </c>
      <c r="B534" s="2" t="n">
        <v>9</v>
      </c>
      <c r="C534" s="2" t="s">
        <v>33</v>
      </c>
      <c r="D534" s="2" t="s">
        <v>34</v>
      </c>
      <c r="E534" s="2" t="s">
        <v>12</v>
      </c>
      <c r="F534" s="2" t="s">
        <v>35</v>
      </c>
      <c r="G534" s="3" t="n">
        <v>10834</v>
      </c>
      <c r="H534" s="4" t="n">
        <v>31.5</v>
      </c>
      <c r="I534" s="4" t="n">
        <f aca="false">G534*H534</f>
        <v>341271</v>
      </c>
    </row>
    <row r="535" customFormat="false" ht="15" hidden="false" customHeight="false" outlineLevel="0" collapsed="false">
      <c r="A535" s="2" t="s">
        <v>44</v>
      </c>
      <c r="B535" s="2" t="n">
        <v>9</v>
      </c>
      <c r="C535" s="2" t="s">
        <v>33</v>
      </c>
      <c r="D535" s="2" t="s">
        <v>34</v>
      </c>
      <c r="E535" s="2" t="s">
        <v>14</v>
      </c>
      <c r="F535" s="2" t="s">
        <v>35</v>
      </c>
      <c r="G535" s="3" t="n">
        <v>4873</v>
      </c>
      <c r="H535" s="4" t="n">
        <v>36.75</v>
      </c>
      <c r="I535" s="4" t="n">
        <f aca="false">G535*H535</f>
        <v>179082.75</v>
      </c>
    </row>
    <row r="536" customFormat="false" ht="15" hidden="false" customHeight="false" outlineLevel="0" collapsed="false">
      <c r="A536" s="2" t="s">
        <v>44</v>
      </c>
      <c r="B536" s="2" t="n">
        <v>9</v>
      </c>
      <c r="C536" s="2" t="s">
        <v>33</v>
      </c>
      <c r="D536" s="2" t="s">
        <v>34</v>
      </c>
      <c r="E536" s="2" t="s">
        <v>15</v>
      </c>
      <c r="F536" s="2" t="s">
        <v>35</v>
      </c>
      <c r="G536" s="3" t="n">
        <v>5923</v>
      </c>
      <c r="H536" s="4" t="n">
        <v>35</v>
      </c>
      <c r="I536" s="4" t="n">
        <f aca="false">G536*H536</f>
        <v>207305</v>
      </c>
    </row>
    <row r="537" customFormat="false" ht="15" hidden="false" customHeight="false" outlineLevel="0" collapsed="false">
      <c r="A537" s="2" t="s">
        <v>44</v>
      </c>
      <c r="B537" s="2" t="n">
        <v>9</v>
      </c>
      <c r="C537" s="2" t="s">
        <v>33</v>
      </c>
      <c r="D537" s="2" t="s">
        <v>34</v>
      </c>
      <c r="E537" s="2" t="s">
        <v>16</v>
      </c>
      <c r="F537" s="2" t="s">
        <v>35</v>
      </c>
      <c r="G537" s="3" t="n">
        <v>7181</v>
      </c>
      <c r="H537" s="4" t="n">
        <v>27.3</v>
      </c>
      <c r="I537" s="4" t="n">
        <f aca="false">G537*H537</f>
        <v>196041.3</v>
      </c>
    </row>
    <row r="538" customFormat="false" ht="15" hidden="false" customHeight="false" outlineLevel="0" collapsed="false">
      <c r="A538" s="2" t="s">
        <v>44</v>
      </c>
      <c r="B538" s="2" t="n">
        <v>9</v>
      </c>
      <c r="C538" s="2" t="s">
        <v>36</v>
      </c>
      <c r="D538" s="2" t="s">
        <v>34</v>
      </c>
      <c r="E538" s="2" t="s">
        <v>12</v>
      </c>
      <c r="F538" s="2" t="s">
        <v>35</v>
      </c>
      <c r="G538" s="3" t="n">
        <v>7541</v>
      </c>
      <c r="H538" s="4" t="n">
        <v>39.6</v>
      </c>
      <c r="I538" s="4" t="n">
        <f aca="false">G538*H538</f>
        <v>298623.6</v>
      </c>
    </row>
    <row r="539" customFormat="false" ht="15" hidden="false" customHeight="false" outlineLevel="0" collapsed="false">
      <c r="A539" s="2" t="s">
        <v>44</v>
      </c>
      <c r="B539" s="2" t="n">
        <v>9</v>
      </c>
      <c r="C539" s="2" t="s">
        <v>36</v>
      </c>
      <c r="D539" s="2" t="s">
        <v>34</v>
      </c>
      <c r="E539" s="2" t="s">
        <v>14</v>
      </c>
      <c r="F539" s="2" t="s">
        <v>35</v>
      </c>
      <c r="G539" s="3" t="n">
        <v>3319</v>
      </c>
      <c r="H539" s="4" t="n">
        <v>46.2</v>
      </c>
      <c r="I539" s="4" t="n">
        <f aca="false">G539*H539</f>
        <v>153337.8</v>
      </c>
    </row>
    <row r="540" customFormat="false" ht="15" hidden="false" customHeight="false" outlineLevel="0" collapsed="false">
      <c r="A540" s="2" t="s">
        <v>44</v>
      </c>
      <c r="B540" s="2" t="n">
        <v>9</v>
      </c>
      <c r="C540" s="2" t="s">
        <v>36</v>
      </c>
      <c r="D540" s="2" t="s">
        <v>34</v>
      </c>
      <c r="E540" s="2" t="s">
        <v>15</v>
      </c>
      <c r="F540" s="2" t="s">
        <v>35</v>
      </c>
      <c r="G540" s="3" t="n">
        <v>4236</v>
      </c>
      <c r="H540" s="4" t="n">
        <v>44</v>
      </c>
      <c r="I540" s="4" t="n">
        <f aca="false">G540*H540</f>
        <v>186384</v>
      </c>
    </row>
    <row r="541" customFormat="false" ht="15" hidden="false" customHeight="false" outlineLevel="0" collapsed="false">
      <c r="A541" s="2" t="s">
        <v>44</v>
      </c>
      <c r="B541" s="2" t="n">
        <v>9</v>
      </c>
      <c r="C541" s="2" t="s">
        <v>36</v>
      </c>
      <c r="D541" s="2" t="s">
        <v>34</v>
      </c>
      <c r="E541" s="2" t="s">
        <v>16</v>
      </c>
      <c r="F541" s="2" t="s">
        <v>35</v>
      </c>
      <c r="G541" s="3" t="n">
        <v>4939</v>
      </c>
      <c r="H541" s="4" t="n">
        <v>34.32</v>
      </c>
      <c r="I541" s="4" t="n">
        <f aca="false">G541*H541</f>
        <v>169506.48</v>
      </c>
    </row>
    <row r="542" customFormat="false" ht="15" hidden="false" customHeight="false" outlineLevel="0" collapsed="false">
      <c r="A542" s="2" t="s">
        <v>45</v>
      </c>
      <c r="B542" s="2" t="n">
        <v>10</v>
      </c>
      <c r="C542" s="2" t="s">
        <v>10</v>
      </c>
      <c r="D542" s="2" t="s">
        <v>11</v>
      </c>
      <c r="E542" s="2" t="s">
        <v>12</v>
      </c>
      <c r="F542" s="2" t="s">
        <v>13</v>
      </c>
      <c r="G542" s="3" t="n">
        <v>5091</v>
      </c>
      <c r="H542" s="4" t="n">
        <v>37.8</v>
      </c>
      <c r="I542" s="4" t="n">
        <f aca="false">G542*H542</f>
        <v>192439.8</v>
      </c>
    </row>
    <row r="543" customFormat="false" ht="15" hidden="false" customHeight="false" outlineLevel="0" collapsed="false">
      <c r="A543" s="2" t="s">
        <v>45</v>
      </c>
      <c r="B543" s="2" t="n">
        <v>10</v>
      </c>
      <c r="C543" s="2" t="s">
        <v>10</v>
      </c>
      <c r="D543" s="2" t="s">
        <v>11</v>
      </c>
      <c r="E543" s="2" t="s">
        <v>14</v>
      </c>
      <c r="F543" s="2" t="s">
        <v>13</v>
      </c>
      <c r="G543" s="3" t="n">
        <v>11656</v>
      </c>
      <c r="H543" s="4" t="n">
        <v>44.1</v>
      </c>
      <c r="I543" s="4" t="n">
        <f aca="false">G543*H543</f>
        <v>514029.6</v>
      </c>
    </row>
    <row r="544" customFormat="false" ht="15" hidden="false" customHeight="false" outlineLevel="0" collapsed="false">
      <c r="A544" s="2" t="s">
        <v>45</v>
      </c>
      <c r="B544" s="2" t="n">
        <v>10</v>
      </c>
      <c r="C544" s="2" t="s">
        <v>10</v>
      </c>
      <c r="D544" s="2" t="s">
        <v>11</v>
      </c>
      <c r="E544" s="2" t="s">
        <v>15</v>
      </c>
      <c r="F544" s="2" t="s">
        <v>13</v>
      </c>
      <c r="G544" s="3" t="n">
        <v>15598</v>
      </c>
      <c r="H544" s="4" t="n">
        <v>42</v>
      </c>
      <c r="I544" s="4" t="n">
        <f aca="false">G544*H544</f>
        <v>655116</v>
      </c>
    </row>
    <row r="545" customFormat="false" ht="15" hidden="false" customHeight="false" outlineLevel="0" collapsed="false">
      <c r="A545" s="2" t="s">
        <v>45</v>
      </c>
      <c r="B545" s="2" t="n">
        <v>10</v>
      </c>
      <c r="C545" s="2" t="s">
        <v>10</v>
      </c>
      <c r="D545" s="2" t="s">
        <v>11</v>
      </c>
      <c r="E545" s="2" t="s">
        <v>16</v>
      </c>
      <c r="F545" s="2" t="s">
        <v>13</v>
      </c>
      <c r="G545" s="3" t="n">
        <v>18501</v>
      </c>
      <c r="H545" s="4" t="n">
        <v>32.76</v>
      </c>
      <c r="I545" s="4" t="n">
        <f aca="false">G545*H545</f>
        <v>606092.76</v>
      </c>
    </row>
    <row r="546" customFormat="false" ht="15" hidden="false" customHeight="false" outlineLevel="0" collapsed="false">
      <c r="A546" s="2" t="s">
        <v>45</v>
      </c>
      <c r="B546" s="2" t="n">
        <v>10</v>
      </c>
      <c r="C546" s="2" t="s">
        <v>17</v>
      </c>
      <c r="D546" s="2" t="s">
        <v>11</v>
      </c>
      <c r="E546" s="2" t="s">
        <v>12</v>
      </c>
      <c r="F546" s="2" t="s">
        <v>13</v>
      </c>
      <c r="G546" s="3" t="n">
        <v>19336</v>
      </c>
      <c r="H546" s="4" t="n">
        <v>34.2</v>
      </c>
      <c r="I546" s="4" t="n">
        <f aca="false">G546*H546</f>
        <v>661291.2</v>
      </c>
    </row>
    <row r="547" customFormat="false" ht="15" hidden="false" customHeight="false" outlineLevel="0" collapsed="false">
      <c r="A547" s="2" t="s">
        <v>45</v>
      </c>
      <c r="B547" s="2" t="n">
        <v>10</v>
      </c>
      <c r="C547" s="2" t="s">
        <v>17</v>
      </c>
      <c r="D547" s="2" t="s">
        <v>11</v>
      </c>
      <c r="E547" s="2" t="s">
        <v>14</v>
      </c>
      <c r="F547" s="2" t="s">
        <v>13</v>
      </c>
      <c r="G547" s="3" t="n">
        <v>8116</v>
      </c>
      <c r="H547" s="4" t="n">
        <v>39.9</v>
      </c>
      <c r="I547" s="4" t="n">
        <f aca="false">G547*H547</f>
        <v>323828.4</v>
      </c>
    </row>
    <row r="548" customFormat="false" ht="15" hidden="false" customHeight="false" outlineLevel="0" collapsed="false">
      <c r="A548" s="2" t="s">
        <v>45</v>
      </c>
      <c r="B548" s="2" t="n">
        <v>10</v>
      </c>
      <c r="C548" s="2" t="s">
        <v>17</v>
      </c>
      <c r="D548" s="2" t="s">
        <v>11</v>
      </c>
      <c r="E548" s="2" t="s">
        <v>15</v>
      </c>
      <c r="F548" s="2" t="s">
        <v>13</v>
      </c>
      <c r="G548" s="3" t="n">
        <v>9345</v>
      </c>
      <c r="H548" s="4" t="n">
        <v>38</v>
      </c>
      <c r="I548" s="4" t="n">
        <f aca="false">G548*H548</f>
        <v>355110</v>
      </c>
    </row>
    <row r="549" customFormat="false" ht="15" hidden="false" customHeight="false" outlineLevel="0" collapsed="false">
      <c r="A549" s="2" t="s">
        <v>45</v>
      </c>
      <c r="B549" s="2" t="n">
        <v>10</v>
      </c>
      <c r="C549" s="2" t="s">
        <v>17</v>
      </c>
      <c r="D549" s="2" t="s">
        <v>11</v>
      </c>
      <c r="E549" s="2" t="s">
        <v>16</v>
      </c>
      <c r="F549" s="2" t="s">
        <v>13</v>
      </c>
      <c r="G549" s="3" t="n">
        <v>11376</v>
      </c>
      <c r="H549" s="4" t="n">
        <v>29.64</v>
      </c>
      <c r="I549" s="4" t="n">
        <f aca="false">G549*H549</f>
        <v>337184.64</v>
      </c>
    </row>
    <row r="550" customFormat="false" ht="15" hidden="false" customHeight="false" outlineLevel="0" collapsed="false">
      <c r="A550" s="2" t="s">
        <v>45</v>
      </c>
      <c r="B550" s="2" t="n">
        <v>10</v>
      </c>
      <c r="C550" s="2" t="s">
        <v>18</v>
      </c>
      <c r="D550" s="2" t="s">
        <v>11</v>
      </c>
      <c r="E550" s="2" t="s">
        <v>12</v>
      </c>
      <c r="F550" s="2" t="s">
        <v>13</v>
      </c>
      <c r="G550" s="3" t="n">
        <v>9882</v>
      </c>
      <c r="H550" s="4" t="n">
        <v>49.5</v>
      </c>
      <c r="I550" s="4" t="n">
        <f aca="false">G550*H550</f>
        <v>489159</v>
      </c>
    </row>
    <row r="551" customFormat="false" ht="15" hidden="false" customHeight="false" outlineLevel="0" collapsed="false">
      <c r="A551" s="2" t="s">
        <v>45</v>
      </c>
      <c r="B551" s="2" t="n">
        <v>10</v>
      </c>
      <c r="C551" s="2" t="s">
        <v>18</v>
      </c>
      <c r="D551" s="2" t="s">
        <v>11</v>
      </c>
      <c r="E551" s="2" t="s">
        <v>14</v>
      </c>
      <c r="F551" s="2" t="s">
        <v>13</v>
      </c>
      <c r="G551" s="3" t="n">
        <v>4296</v>
      </c>
      <c r="H551" s="4" t="n">
        <v>57.75</v>
      </c>
      <c r="I551" s="4" t="n">
        <f aca="false">G551*H551</f>
        <v>248094</v>
      </c>
    </row>
    <row r="552" customFormat="false" ht="15" hidden="false" customHeight="false" outlineLevel="0" collapsed="false">
      <c r="A552" s="2" t="s">
        <v>45</v>
      </c>
      <c r="B552" s="2" t="n">
        <v>10</v>
      </c>
      <c r="C552" s="2" t="s">
        <v>18</v>
      </c>
      <c r="D552" s="2" t="s">
        <v>11</v>
      </c>
      <c r="E552" s="2" t="s">
        <v>15</v>
      </c>
      <c r="F552" s="2" t="s">
        <v>13</v>
      </c>
      <c r="G552" s="3" t="n">
        <v>5513</v>
      </c>
      <c r="H552" s="4" t="n">
        <v>55</v>
      </c>
      <c r="I552" s="4" t="n">
        <f aca="false">G552*H552</f>
        <v>303215</v>
      </c>
    </row>
    <row r="553" customFormat="false" ht="15" hidden="false" customHeight="false" outlineLevel="0" collapsed="false">
      <c r="A553" s="2" t="s">
        <v>45</v>
      </c>
      <c r="B553" s="2" t="n">
        <v>10</v>
      </c>
      <c r="C553" s="2" t="s">
        <v>18</v>
      </c>
      <c r="D553" s="2" t="s">
        <v>11</v>
      </c>
      <c r="E553" s="2" t="s">
        <v>16</v>
      </c>
      <c r="F553" s="2" t="s">
        <v>13</v>
      </c>
      <c r="G553" s="3" t="n">
        <v>6973</v>
      </c>
      <c r="H553" s="4" t="n">
        <v>42.9</v>
      </c>
      <c r="I553" s="4" t="n">
        <f aca="false">G553*H553</f>
        <v>299141.7</v>
      </c>
    </row>
    <row r="554" customFormat="false" ht="15" hidden="false" customHeight="false" outlineLevel="0" collapsed="false">
      <c r="A554" s="2" t="s">
        <v>45</v>
      </c>
      <c r="B554" s="2" t="n">
        <v>10</v>
      </c>
      <c r="C554" s="2" t="s">
        <v>19</v>
      </c>
      <c r="D554" s="2" t="s">
        <v>20</v>
      </c>
      <c r="E554" s="2" t="s">
        <v>12</v>
      </c>
      <c r="F554" s="2" t="s">
        <v>13</v>
      </c>
      <c r="G554" s="3" t="n">
        <v>22849</v>
      </c>
      <c r="H554" s="4" t="n">
        <v>23.4</v>
      </c>
      <c r="I554" s="4" t="n">
        <f aca="false">G554*H554</f>
        <v>534666.6</v>
      </c>
    </row>
    <row r="555" customFormat="false" ht="15" hidden="false" customHeight="false" outlineLevel="0" collapsed="false">
      <c r="A555" s="2" t="s">
        <v>45</v>
      </c>
      <c r="B555" s="2" t="n">
        <v>10</v>
      </c>
      <c r="C555" s="2" t="s">
        <v>19</v>
      </c>
      <c r="D555" s="2" t="s">
        <v>20</v>
      </c>
      <c r="E555" s="2" t="s">
        <v>14</v>
      </c>
      <c r="F555" s="2" t="s">
        <v>13</v>
      </c>
      <c r="G555" s="3" t="n">
        <v>9273</v>
      </c>
      <c r="H555" s="4" t="n">
        <v>27.3</v>
      </c>
      <c r="I555" s="4" t="n">
        <f aca="false">G555*H555</f>
        <v>253152.9</v>
      </c>
    </row>
    <row r="556" customFormat="false" ht="15" hidden="false" customHeight="false" outlineLevel="0" collapsed="false">
      <c r="A556" s="2" t="s">
        <v>45</v>
      </c>
      <c r="B556" s="2" t="n">
        <v>10</v>
      </c>
      <c r="C556" s="2" t="s">
        <v>19</v>
      </c>
      <c r="D556" s="2" t="s">
        <v>20</v>
      </c>
      <c r="E556" s="2" t="s">
        <v>15</v>
      </c>
      <c r="F556" s="2" t="s">
        <v>13</v>
      </c>
      <c r="G556" s="3" t="n">
        <v>12064</v>
      </c>
      <c r="H556" s="4" t="n">
        <v>26</v>
      </c>
      <c r="I556" s="4" t="n">
        <f aca="false">G556*H556</f>
        <v>313664</v>
      </c>
    </row>
    <row r="557" customFormat="false" ht="15" hidden="false" customHeight="false" outlineLevel="0" collapsed="false">
      <c r="A557" s="2" t="s">
        <v>45</v>
      </c>
      <c r="B557" s="2" t="n">
        <v>10</v>
      </c>
      <c r="C557" s="2" t="s">
        <v>19</v>
      </c>
      <c r="D557" s="2" t="s">
        <v>20</v>
      </c>
      <c r="E557" s="2" t="s">
        <v>16</v>
      </c>
      <c r="F557" s="2" t="s">
        <v>13</v>
      </c>
      <c r="G557" s="3" t="n">
        <v>14401</v>
      </c>
      <c r="H557" s="4" t="n">
        <v>20.28</v>
      </c>
      <c r="I557" s="4" t="n">
        <f aca="false">G557*H557</f>
        <v>292052.28</v>
      </c>
    </row>
    <row r="558" customFormat="false" ht="15" hidden="false" customHeight="false" outlineLevel="0" collapsed="false">
      <c r="A558" s="2" t="s">
        <v>45</v>
      </c>
      <c r="B558" s="2" t="n">
        <v>10</v>
      </c>
      <c r="C558" s="2" t="s">
        <v>21</v>
      </c>
      <c r="D558" s="2" t="s">
        <v>20</v>
      </c>
      <c r="E558" s="2" t="s">
        <v>12</v>
      </c>
      <c r="F558" s="2" t="s">
        <v>22</v>
      </c>
      <c r="G558" s="3" t="n">
        <v>25446</v>
      </c>
      <c r="H558" s="4" t="n">
        <v>12.6</v>
      </c>
      <c r="I558" s="4" t="n">
        <f aca="false">G558*H558</f>
        <v>320619.6</v>
      </c>
    </row>
    <row r="559" customFormat="false" ht="15" hidden="false" customHeight="false" outlineLevel="0" collapsed="false">
      <c r="A559" s="2" t="s">
        <v>45</v>
      </c>
      <c r="B559" s="2" t="n">
        <v>10</v>
      </c>
      <c r="C559" s="2" t="s">
        <v>21</v>
      </c>
      <c r="D559" s="2" t="s">
        <v>20</v>
      </c>
      <c r="E559" s="2" t="s">
        <v>14</v>
      </c>
      <c r="F559" s="2" t="s">
        <v>22</v>
      </c>
      <c r="G559" s="3" t="n">
        <v>11270</v>
      </c>
      <c r="H559" s="4" t="n">
        <v>14.7</v>
      </c>
      <c r="I559" s="4" t="n">
        <f aca="false">G559*H559</f>
        <v>165669</v>
      </c>
    </row>
    <row r="560" customFormat="false" ht="15" hidden="false" customHeight="false" outlineLevel="0" collapsed="false">
      <c r="A560" s="2" t="s">
        <v>45</v>
      </c>
      <c r="B560" s="2" t="n">
        <v>10</v>
      </c>
      <c r="C560" s="2" t="s">
        <v>21</v>
      </c>
      <c r="D560" s="2" t="s">
        <v>20</v>
      </c>
      <c r="E560" s="2" t="s">
        <v>15</v>
      </c>
      <c r="F560" s="2" t="s">
        <v>22</v>
      </c>
      <c r="G560" s="3" t="n">
        <v>12862</v>
      </c>
      <c r="H560" s="4" t="n">
        <v>14</v>
      </c>
      <c r="I560" s="4" t="n">
        <f aca="false">G560*H560</f>
        <v>180068</v>
      </c>
    </row>
    <row r="561" customFormat="false" ht="15" hidden="false" customHeight="false" outlineLevel="0" collapsed="false">
      <c r="A561" s="2" t="s">
        <v>45</v>
      </c>
      <c r="B561" s="2" t="n">
        <v>10</v>
      </c>
      <c r="C561" s="2" t="s">
        <v>21</v>
      </c>
      <c r="D561" s="2" t="s">
        <v>20</v>
      </c>
      <c r="E561" s="2" t="s">
        <v>16</v>
      </c>
      <c r="F561" s="2" t="s">
        <v>22</v>
      </c>
      <c r="G561" s="3" t="n">
        <v>16555</v>
      </c>
      <c r="H561" s="4" t="n">
        <v>10.92</v>
      </c>
      <c r="I561" s="4" t="n">
        <f aca="false">G561*H561</f>
        <v>180780.6</v>
      </c>
    </row>
    <row r="562" customFormat="false" ht="15" hidden="false" customHeight="false" outlineLevel="0" collapsed="false">
      <c r="A562" s="2" t="s">
        <v>45</v>
      </c>
      <c r="B562" s="2" t="n">
        <v>10</v>
      </c>
      <c r="C562" s="2" t="s">
        <v>23</v>
      </c>
      <c r="D562" s="2" t="s">
        <v>20</v>
      </c>
      <c r="E562" s="2" t="s">
        <v>12</v>
      </c>
      <c r="F562" s="2" t="s">
        <v>13</v>
      </c>
      <c r="G562" s="3" t="n">
        <v>8591</v>
      </c>
      <c r="H562" s="4" t="n">
        <v>27.9</v>
      </c>
      <c r="I562" s="4" t="n">
        <f aca="false">G562*H562</f>
        <v>239688.9</v>
      </c>
    </row>
    <row r="563" customFormat="false" ht="15" hidden="false" customHeight="false" outlineLevel="0" collapsed="false">
      <c r="A563" s="2" t="s">
        <v>45</v>
      </c>
      <c r="B563" s="2" t="n">
        <v>10</v>
      </c>
      <c r="C563" s="2" t="s">
        <v>23</v>
      </c>
      <c r="D563" s="2" t="s">
        <v>20</v>
      </c>
      <c r="E563" s="2" t="s">
        <v>14</v>
      </c>
      <c r="F563" s="2" t="s">
        <v>13</v>
      </c>
      <c r="G563" s="3" t="n">
        <v>3686</v>
      </c>
      <c r="H563" s="4" t="n">
        <v>32.55</v>
      </c>
      <c r="I563" s="4" t="n">
        <f aca="false">G563*H563</f>
        <v>119979.3</v>
      </c>
    </row>
    <row r="564" customFormat="false" ht="15" hidden="false" customHeight="false" outlineLevel="0" collapsed="false">
      <c r="A564" s="2" t="s">
        <v>45</v>
      </c>
      <c r="B564" s="2" t="n">
        <v>10</v>
      </c>
      <c r="C564" s="2" t="s">
        <v>23</v>
      </c>
      <c r="D564" s="2" t="s">
        <v>20</v>
      </c>
      <c r="E564" s="2" t="s">
        <v>15</v>
      </c>
      <c r="F564" s="2" t="s">
        <v>13</v>
      </c>
      <c r="G564" s="3" t="n">
        <v>4665</v>
      </c>
      <c r="H564" s="4" t="n">
        <v>31</v>
      </c>
      <c r="I564" s="4" t="n">
        <f aca="false">G564*H564</f>
        <v>144615</v>
      </c>
    </row>
    <row r="565" customFormat="false" ht="15" hidden="false" customHeight="false" outlineLevel="0" collapsed="false">
      <c r="A565" s="2" t="s">
        <v>45</v>
      </c>
      <c r="B565" s="2" t="n">
        <v>10</v>
      </c>
      <c r="C565" s="2" t="s">
        <v>23</v>
      </c>
      <c r="D565" s="2" t="s">
        <v>20</v>
      </c>
      <c r="E565" s="2" t="s">
        <v>16</v>
      </c>
      <c r="F565" s="2" t="s">
        <v>13</v>
      </c>
      <c r="G565" s="3" t="n">
        <v>5577</v>
      </c>
      <c r="H565" s="4" t="n">
        <v>24.18</v>
      </c>
      <c r="I565" s="4" t="n">
        <f aca="false">G565*H565</f>
        <v>134851.86</v>
      </c>
    </row>
    <row r="566" customFormat="false" ht="15" hidden="false" customHeight="false" outlineLevel="0" collapsed="false">
      <c r="A566" s="2" t="s">
        <v>45</v>
      </c>
      <c r="B566" s="2" t="n">
        <v>10</v>
      </c>
      <c r="C566" s="2" t="s">
        <v>24</v>
      </c>
      <c r="D566" s="2" t="s">
        <v>20</v>
      </c>
      <c r="E566" s="2" t="s">
        <v>12</v>
      </c>
      <c r="F566" s="2" t="s">
        <v>22</v>
      </c>
      <c r="G566" s="3" t="n">
        <v>28893</v>
      </c>
      <c r="H566" s="4" t="n">
        <v>10.8</v>
      </c>
      <c r="I566" s="4" t="n">
        <f aca="false">G566*H566</f>
        <v>312044.4</v>
      </c>
    </row>
    <row r="567" customFormat="false" ht="15" hidden="false" customHeight="false" outlineLevel="0" collapsed="false">
      <c r="A567" s="2" t="s">
        <v>45</v>
      </c>
      <c r="B567" s="2" t="n">
        <v>10</v>
      </c>
      <c r="C567" s="2" t="s">
        <v>24</v>
      </c>
      <c r="D567" s="2" t="s">
        <v>20</v>
      </c>
      <c r="E567" s="2" t="s">
        <v>14</v>
      </c>
      <c r="F567" s="2" t="s">
        <v>22</v>
      </c>
      <c r="G567" s="3" t="n">
        <v>12853</v>
      </c>
      <c r="H567" s="4" t="n">
        <v>12.6</v>
      </c>
      <c r="I567" s="4" t="n">
        <f aca="false">G567*H567</f>
        <v>161947.8</v>
      </c>
    </row>
    <row r="568" customFormat="false" ht="15" hidden="false" customHeight="false" outlineLevel="0" collapsed="false">
      <c r="A568" s="2" t="s">
        <v>45</v>
      </c>
      <c r="B568" s="2" t="n">
        <v>10</v>
      </c>
      <c r="C568" s="2" t="s">
        <v>24</v>
      </c>
      <c r="D568" s="2" t="s">
        <v>20</v>
      </c>
      <c r="E568" s="2" t="s">
        <v>15</v>
      </c>
      <c r="F568" s="2" t="s">
        <v>22</v>
      </c>
      <c r="G568" s="3" t="n">
        <v>15038</v>
      </c>
      <c r="H568" s="4" t="n">
        <v>12</v>
      </c>
      <c r="I568" s="4" t="n">
        <f aca="false">G568*H568</f>
        <v>180456</v>
      </c>
    </row>
    <row r="569" customFormat="false" ht="15" hidden="false" customHeight="false" outlineLevel="0" collapsed="false">
      <c r="A569" s="2" t="s">
        <v>45</v>
      </c>
      <c r="B569" s="2" t="n">
        <v>10</v>
      </c>
      <c r="C569" s="2" t="s">
        <v>24</v>
      </c>
      <c r="D569" s="2" t="s">
        <v>20</v>
      </c>
      <c r="E569" s="2" t="s">
        <v>16</v>
      </c>
      <c r="F569" s="2" t="s">
        <v>22</v>
      </c>
      <c r="G569" s="3" t="n">
        <v>19940</v>
      </c>
      <c r="H569" s="4" t="n">
        <v>9.36</v>
      </c>
      <c r="I569" s="4" t="n">
        <f aca="false">G569*H569</f>
        <v>186638.4</v>
      </c>
    </row>
    <row r="570" customFormat="false" ht="15" hidden="false" customHeight="false" outlineLevel="0" collapsed="false">
      <c r="A570" s="2" t="s">
        <v>45</v>
      </c>
      <c r="B570" s="2" t="n">
        <v>10</v>
      </c>
      <c r="C570" s="2" t="s">
        <v>25</v>
      </c>
      <c r="D570" s="2" t="s">
        <v>20</v>
      </c>
      <c r="E570" s="2" t="s">
        <v>12</v>
      </c>
      <c r="F570" s="2" t="s">
        <v>22</v>
      </c>
      <c r="G570" s="3" t="n">
        <v>42246</v>
      </c>
      <c r="H570" s="4" t="n">
        <v>8.1</v>
      </c>
      <c r="I570" s="4" t="n">
        <f aca="false">G570*H570</f>
        <v>342192.6</v>
      </c>
    </row>
    <row r="571" customFormat="false" ht="15" hidden="false" customHeight="false" outlineLevel="0" collapsed="false">
      <c r="A571" s="2" t="s">
        <v>45</v>
      </c>
      <c r="B571" s="2" t="n">
        <v>10</v>
      </c>
      <c r="C571" s="2" t="s">
        <v>25</v>
      </c>
      <c r="D571" s="2" t="s">
        <v>20</v>
      </c>
      <c r="E571" s="2" t="s">
        <v>14</v>
      </c>
      <c r="F571" s="2" t="s">
        <v>22</v>
      </c>
      <c r="G571" s="3" t="n">
        <v>16680</v>
      </c>
      <c r="H571" s="4" t="n">
        <v>9.45</v>
      </c>
      <c r="I571" s="4" t="n">
        <f aca="false">G571*H571</f>
        <v>157626</v>
      </c>
    </row>
    <row r="572" customFormat="false" ht="15" hidden="false" customHeight="false" outlineLevel="0" collapsed="false">
      <c r="A572" s="2" t="s">
        <v>45</v>
      </c>
      <c r="B572" s="2" t="n">
        <v>10</v>
      </c>
      <c r="C572" s="2" t="s">
        <v>25</v>
      </c>
      <c r="D572" s="2" t="s">
        <v>20</v>
      </c>
      <c r="E572" s="2" t="s">
        <v>15</v>
      </c>
      <c r="F572" s="2" t="s">
        <v>22</v>
      </c>
      <c r="G572" s="3" t="n">
        <v>21688</v>
      </c>
      <c r="H572" s="4" t="n">
        <v>9</v>
      </c>
      <c r="I572" s="4" t="n">
        <f aca="false">G572*H572</f>
        <v>195192</v>
      </c>
    </row>
    <row r="573" customFormat="false" ht="15" hidden="false" customHeight="false" outlineLevel="0" collapsed="false">
      <c r="A573" s="2" t="s">
        <v>45</v>
      </c>
      <c r="B573" s="2" t="n">
        <v>10</v>
      </c>
      <c r="C573" s="2" t="s">
        <v>25</v>
      </c>
      <c r="D573" s="2" t="s">
        <v>20</v>
      </c>
      <c r="E573" s="2" t="s">
        <v>16</v>
      </c>
      <c r="F573" s="2" t="s">
        <v>22</v>
      </c>
      <c r="G573" s="3" t="n">
        <v>26728</v>
      </c>
      <c r="H573" s="4" t="n">
        <v>7.02</v>
      </c>
      <c r="I573" s="4" t="n">
        <f aca="false">G573*H573</f>
        <v>187630.56</v>
      </c>
    </row>
    <row r="574" customFormat="false" ht="15" hidden="false" customHeight="false" outlineLevel="0" collapsed="false">
      <c r="A574" s="2" t="s">
        <v>45</v>
      </c>
      <c r="B574" s="2" t="n">
        <v>10</v>
      </c>
      <c r="C574" s="2" t="s">
        <v>26</v>
      </c>
      <c r="D574" s="2" t="s">
        <v>20</v>
      </c>
      <c r="E574" s="2" t="s">
        <v>12</v>
      </c>
      <c r="F574" s="2" t="s">
        <v>22</v>
      </c>
      <c r="G574" s="3" t="n">
        <v>23767</v>
      </c>
      <c r="H574" s="4" t="n">
        <v>14.4</v>
      </c>
      <c r="I574" s="4" t="n">
        <f aca="false">G574*H574</f>
        <v>342244.8</v>
      </c>
    </row>
    <row r="575" customFormat="false" ht="15" hidden="false" customHeight="false" outlineLevel="0" collapsed="false">
      <c r="A575" s="2" t="s">
        <v>45</v>
      </c>
      <c r="B575" s="2" t="n">
        <v>10</v>
      </c>
      <c r="C575" s="2" t="s">
        <v>26</v>
      </c>
      <c r="D575" s="2" t="s">
        <v>20</v>
      </c>
      <c r="E575" s="2" t="s">
        <v>14</v>
      </c>
      <c r="F575" s="2" t="s">
        <v>22</v>
      </c>
      <c r="G575" s="3" t="n">
        <v>10272</v>
      </c>
      <c r="H575" s="4" t="n">
        <v>16.8</v>
      </c>
      <c r="I575" s="4" t="n">
        <f aca="false">G575*H575</f>
        <v>172569.6</v>
      </c>
    </row>
    <row r="576" customFormat="false" ht="15" hidden="false" customHeight="false" outlineLevel="0" collapsed="false">
      <c r="A576" s="2" t="s">
        <v>45</v>
      </c>
      <c r="B576" s="2" t="n">
        <v>10</v>
      </c>
      <c r="C576" s="2" t="s">
        <v>26</v>
      </c>
      <c r="D576" s="2" t="s">
        <v>20</v>
      </c>
      <c r="E576" s="2" t="s">
        <v>15</v>
      </c>
      <c r="F576" s="2" t="s">
        <v>22</v>
      </c>
      <c r="G576" s="3" t="n">
        <v>12776</v>
      </c>
      <c r="H576" s="4" t="n">
        <v>16</v>
      </c>
      <c r="I576" s="4" t="n">
        <f aca="false">G576*H576</f>
        <v>204416</v>
      </c>
    </row>
    <row r="577" customFormat="false" ht="15" hidden="false" customHeight="false" outlineLevel="0" collapsed="false">
      <c r="A577" s="2" t="s">
        <v>45</v>
      </c>
      <c r="B577" s="2" t="n">
        <v>10</v>
      </c>
      <c r="C577" s="2" t="s">
        <v>26</v>
      </c>
      <c r="D577" s="2" t="s">
        <v>20</v>
      </c>
      <c r="E577" s="2" t="s">
        <v>16</v>
      </c>
      <c r="F577" s="2" t="s">
        <v>22</v>
      </c>
      <c r="G577" s="3" t="n">
        <v>14654</v>
      </c>
      <c r="H577" s="4" t="n">
        <v>12.48</v>
      </c>
      <c r="I577" s="4" t="n">
        <f aca="false">G577*H577</f>
        <v>182881.92</v>
      </c>
    </row>
    <row r="578" customFormat="false" ht="15" hidden="false" customHeight="false" outlineLevel="0" collapsed="false">
      <c r="A578" s="2" t="s">
        <v>45</v>
      </c>
      <c r="B578" s="2" t="n">
        <v>10</v>
      </c>
      <c r="C578" s="2" t="s">
        <v>27</v>
      </c>
      <c r="D578" s="2" t="s">
        <v>28</v>
      </c>
      <c r="E578" s="2" t="s">
        <v>12</v>
      </c>
      <c r="F578" s="2" t="s">
        <v>29</v>
      </c>
      <c r="G578" s="3" t="n">
        <v>14867</v>
      </c>
      <c r="H578" s="4" t="n">
        <v>43.2</v>
      </c>
      <c r="I578" s="4" t="n">
        <f aca="false">G578*H578</f>
        <v>642254.4</v>
      </c>
    </row>
    <row r="579" customFormat="false" ht="15" hidden="false" customHeight="false" outlineLevel="0" collapsed="false">
      <c r="A579" s="2" t="s">
        <v>45</v>
      </c>
      <c r="B579" s="2" t="n">
        <v>10</v>
      </c>
      <c r="C579" s="2" t="s">
        <v>27</v>
      </c>
      <c r="D579" s="2" t="s">
        <v>28</v>
      </c>
      <c r="E579" s="2" t="s">
        <v>14</v>
      </c>
      <c r="F579" s="2" t="s">
        <v>29</v>
      </c>
      <c r="G579" s="3" t="n">
        <v>6621</v>
      </c>
      <c r="H579" s="4" t="n">
        <v>50.4</v>
      </c>
      <c r="I579" s="4" t="n">
        <f aca="false">G579*H579</f>
        <v>333698.4</v>
      </c>
    </row>
    <row r="580" customFormat="false" ht="15" hidden="false" customHeight="false" outlineLevel="0" collapsed="false">
      <c r="A580" s="2" t="s">
        <v>45</v>
      </c>
      <c r="B580" s="2" t="n">
        <v>10</v>
      </c>
      <c r="C580" s="2" t="s">
        <v>27</v>
      </c>
      <c r="D580" s="2" t="s">
        <v>28</v>
      </c>
      <c r="E580" s="2" t="s">
        <v>15</v>
      </c>
      <c r="F580" s="2" t="s">
        <v>29</v>
      </c>
      <c r="G580" s="3" t="n">
        <v>8218</v>
      </c>
      <c r="H580" s="4" t="n">
        <v>48</v>
      </c>
      <c r="I580" s="4" t="n">
        <f aca="false">G580*H580</f>
        <v>394464</v>
      </c>
    </row>
    <row r="581" customFormat="false" ht="15" hidden="false" customHeight="false" outlineLevel="0" collapsed="false">
      <c r="A581" s="2" t="s">
        <v>45</v>
      </c>
      <c r="B581" s="2" t="n">
        <v>10</v>
      </c>
      <c r="C581" s="2" t="s">
        <v>27</v>
      </c>
      <c r="D581" s="2" t="s">
        <v>28</v>
      </c>
      <c r="E581" s="2" t="s">
        <v>16</v>
      </c>
      <c r="F581" s="2" t="s">
        <v>29</v>
      </c>
      <c r="G581" s="3" t="n">
        <v>10328</v>
      </c>
      <c r="H581" s="4" t="n">
        <v>37.44</v>
      </c>
      <c r="I581" s="4" t="n">
        <f aca="false">G581*H581</f>
        <v>386680.32</v>
      </c>
    </row>
    <row r="582" customFormat="false" ht="15" hidden="false" customHeight="false" outlineLevel="0" collapsed="false">
      <c r="A582" s="2" t="s">
        <v>45</v>
      </c>
      <c r="B582" s="2" t="n">
        <v>10</v>
      </c>
      <c r="C582" s="2" t="s">
        <v>30</v>
      </c>
      <c r="D582" s="2" t="s">
        <v>28</v>
      </c>
      <c r="E582" s="2" t="s">
        <v>12</v>
      </c>
      <c r="F582" s="2" t="s">
        <v>29</v>
      </c>
      <c r="G582" s="3" t="n">
        <v>5387</v>
      </c>
      <c r="H582" s="4" t="n">
        <v>108</v>
      </c>
      <c r="I582" s="4" t="n">
        <f aca="false">G582*H582</f>
        <v>581796</v>
      </c>
    </row>
    <row r="583" customFormat="false" ht="15" hidden="false" customHeight="false" outlineLevel="0" collapsed="false">
      <c r="A583" s="2" t="s">
        <v>45</v>
      </c>
      <c r="B583" s="2" t="n">
        <v>10</v>
      </c>
      <c r="C583" s="2" t="s">
        <v>30</v>
      </c>
      <c r="D583" s="2" t="s">
        <v>28</v>
      </c>
      <c r="E583" s="2" t="s">
        <v>14</v>
      </c>
      <c r="F583" s="2" t="s">
        <v>29</v>
      </c>
      <c r="G583" s="3" t="n">
        <v>2420</v>
      </c>
      <c r="H583" s="4" t="n">
        <v>126</v>
      </c>
      <c r="I583" s="4" t="n">
        <f aca="false">G583*H583</f>
        <v>304920</v>
      </c>
    </row>
    <row r="584" customFormat="false" ht="15" hidden="false" customHeight="false" outlineLevel="0" collapsed="false">
      <c r="A584" s="2" t="s">
        <v>45</v>
      </c>
      <c r="B584" s="2" t="n">
        <v>10</v>
      </c>
      <c r="C584" s="2" t="s">
        <v>30</v>
      </c>
      <c r="D584" s="2" t="s">
        <v>28</v>
      </c>
      <c r="E584" s="2" t="s">
        <v>15</v>
      </c>
      <c r="F584" s="2" t="s">
        <v>29</v>
      </c>
      <c r="G584" s="3" t="n">
        <v>2877</v>
      </c>
      <c r="H584" s="4" t="n">
        <v>120</v>
      </c>
      <c r="I584" s="4" t="n">
        <f aca="false">G584*H584</f>
        <v>345240</v>
      </c>
    </row>
    <row r="585" customFormat="false" ht="15" hidden="false" customHeight="false" outlineLevel="0" collapsed="false">
      <c r="A585" s="2" t="s">
        <v>45</v>
      </c>
      <c r="B585" s="2" t="n">
        <v>10</v>
      </c>
      <c r="C585" s="2" t="s">
        <v>30</v>
      </c>
      <c r="D585" s="2" t="s">
        <v>28</v>
      </c>
      <c r="E585" s="2" t="s">
        <v>16</v>
      </c>
      <c r="F585" s="2" t="s">
        <v>29</v>
      </c>
      <c r="G585" s="3" t="n">
        <v>3540</v>
      </c>
      <c r="H585" s="4" t="n">
        <v>93.6</v>
      </c>
      <c r="I585" s="4" t="n">
        <f aca="false">G585*H585</f>
        <v>331344</v>
      </c>
    </row>
    <row r="586" customFormat="false" ht="15" hidden="false" customHeight="false" outlineLevel="0" collapsed="false">
      <c r="A586" s="2" t="s">
        <v>45</v>
      </c>
      <c r="B586" s="2" t="n">
        <v>10</v>
      </c>
      <c r="C586" s="2" t="s">
        <v>31</v>
      </c>
      <c r="D586" s="2" t="s">
        <v>28</v>
      </c>
      <c r="E586" s="2" t="s">
        <v>12</v>
      </c>
      <c r="F586" s="2" t="s">
        <v>29</v>
      </c>
      <c r="G586" s="3" t="n">
        <v>6727</v>
      </c>
      <c r="H586" s="4" t="n">
        <v>85.5</v>
      </c>
      <c r="I586" s="4" t="n">
        <f aca="false">G586*H586</f>
        <v>575158.5</v>
      </c>
    </row>
    <row r="587" customFormat="false" ht="15" hidden="false" customHeight="false" outlineLevel="0" collapsed="false">
      <c r="A587" s="2" t="s">
        <v>45</v>
      </c>
      <c r="B587" s="2" t="n">
        <v>10</v>
      </c>
      <c r="C587" s="2" t="s">
        <v>31</v>
      </c>
      <c r="D587" s="2" t="s">
        <v>28</v>
      </c>
      <c r="E587" s="2" t="s">
        <v>14</v>
      </c>
      <c r="F587" s="2" t="s">
        <v>29</v>
      </c>
      <c r="G587" s="3" t="n">
        <v>2884</v>
      </c>
      <c r="H587" s="4" t="n">
        <v>99.75</v>
      </c>
      <c r="I587" s="4" t="n">
        <f aca="false">G587*H587</f>
        <v>287679</v>
      </c>
    </row>
    <row r="588" customFormat="false" ht="15" hidden="false" customHeight="false" outlineLevel="0" collapsed="false">
      <c r="A588" s="2" t="s">
        <v>45</v>
      </c>
      <c r="B588" s="2" t="n">
        <v>10</v>
      </c>
      <c r="C588" s="2" t="s">
        <v>31</v>
      </c>
      <c r="D588" s="2" t="s">
        <v>28</v>
      </c>
      <c r="E588" s="2" t="s">
        <v>15</v>
      </c>
      <c r="F588" s="2" t="s">
        <v>29</v>
      </c>
      <c r="G588" s="3" t="n">
        <v>3490</v>
      </c>
      <c r="H588" s="4" t="n">
        <v>95</v>
      </c>
      <c r="I588" s="4" t="n">
        <f aca="false">G588*H588</f>
        <v>331550</v>
      </c>
    </row>
    <row r="589" customFormat="false" ht="15" hidden="false" customHeight="false" outlineLevel="0" collapsed="false">
      <c r="A589" s="2" t="s">
        <v>45</v>
      </c>
      <c r="B589" s="2" t="n">
        <v>10</v>
      </c>
      <c r="C589" s="2" t="s">
        <v>31</v>
      </c>
      <c r="D589" s="2" t="s">
        <v>28</v>
      </c>
      <c r="E589" s="2" t="s">
        <v>16</v>
      </c>
      <c r="F589" s="2" t="s">
        <v>29</v>
      </c>
      <c r="G589" s="3" t="n">
        <v>4235</v>
      </c>
      <c r="H589" s="4" t="n">
        <v>74.1</v>
      </c>
      <c r="I589" s="4" t="n">
        <f aca="false">G589*H589</f>
        <v>313813.5</v>
      </c>
    </row>
    <row r="590" customFormat="false" ht="15" hidden="false" customHeight="false" outlineLevel="0" collapsed="false">
      <c r="A590" s="2" t="s">
        <v>45</v>
      </c>
      <c r="B590" s="2" t="n">
        <v>10</v>
      </c>
      <c r="C590" s="2" t="s">
        <v>32</v>
      </c>
      <c r="D590" s="2" t="s">
        <v>28</v>
      </c>
      <c r="E590" s="2" t="s">
        <v>12</v>
      </c>
      <c r="F590" s="2" t="s">
        <v>29</v>
      </c>
      <c r="G590" s="3" t="n">
        <v>9038</v>
      </c>
      <c r="H590" s="4" t="n">
        <v>61.2</v>
      </c>
      <c r="I590" s="4" t="n">
        <f aca="false">G590*H590</f>
        <v>553125.6</v>
      </c>
    </row>
    <row r="591" customFormat="false" ht="15" hidden="false" customHeight="false" outlineLevel="0" collapsed="false">
      <c r="A591" s="2" t="s">
        <v>45</v>
      </c>
      <c r="B591" s="2" t="n">
        <v>10</v>
      </c>
      <c r="C591" s="2" t="s">
        <v>32</v>
      </c>
      <c r="D591" s="2" t="s">
        <v>28</v>
      </c>
      <c r="E591" s="2" t="s">
        <v>14</v>
      </c>
      <c r="F591" s="2" t="s">
        <v>29</v>
      </c>
      <c r="G591" s="3" t="n">
        <v>4190</v>
      </c>
      <c r="H591" s="4" t="n">
        <v>71.4</v>
      </c>
      <c r="I591" s="4" t="n">
        <f aca="false">G591*H591</f>
        <v>299166</v>
      </c>
    </row>
    <row r="592" customFormat="false" ht="15" hidden="false" customHeight="false" outlineLevel="0" collapsed="false">
      <c r="A592" s="2" t="s">
        <v>45</v>
      </c>
      <c r="B592" s="2" t="n">
        <v>10</v>
      </c>
      <c r="C592" s="2" t="s">
        <v>32</v>
      </c>
      <c r="D592" s="2" t="s">
        <v>28</v>
      </c>
      <c r="E592" s="2" t="s">
        <v>15</v>
      </c>
      <c r="F592" s="2" t="s">
        <v>29</v>
      </c>
      <c r="G592" s="3" t="n">
        <v>4830</v>
      </c>
      <c r="H592" s="4" t="n">
        <v>68</v>
      </c>
      <c r="I592" s="4" t="n">
        <f aca="false">G592*H592</f>
        <v>328440</v>
      </c>
    </row>
    <row r="593" customFormat="false" ht="15" hidden="false" customHeight="false" outlineLevel="0" collapsed="false">
      <c r="A593" s="2" t="s">
        <v>45</v>
      </c>
      <c r="B593" s="2" t="n">
        <v>10</v>
      </c>
      <c r="C593" s="2" t="s">
        <v>32</v>
      </c>
      <c r="D593" s="2" t="s">
        <v>28</v>
      </c>
      <c r="E593" s="2" t="s">
        <v>16</v>
      </c>
      <c r="F593" s="2" t="s">
        <v>29</v>
      </c>
      <c r="G593" s="3" t="n">
        <v>5864</v>
      </c>
      <c r="H593" s="4" t="n">
        <v>53.04</v>
      </c>
      <c r="I593" s="4" t="n">
        <f aca="false">G593*H593</f>
        <v>311026.56</v>
      </c>
    </row>
    <row r="594" customFormat="false" ht="15" hidden="false" customHeight="false" outlineLevel="0" collapsed="false">
      <c r="A594" s="2" t="s">
        <v>45</v>
      </c>
      <c r="B594" s="2" t="n">
        <v>10</v>
      </c>
      <c r="C594" s="2" t="s">
        <v>33</v>
      </c>
      <c r="D594" s="2" t="s">
        <v>34</v>
      </c>
      <c r="E594" s="2" t="s">
        <v>12</v>
      </c>
      <c r="F594" s="2" t="s">
        <v>35</v>
      </c>
      <c r="G594" s="3" t="n">
        <v>11212</v>
      </c>
      <c r="H594" s="4" t="n">
        <v>31.5</v>
      </c>
      <c r="I594" s="4" t="n">
        <f aca="false">G594*H594</f>
        <v>353178</v>
      </c>
    </row>
    <row r="595" customFormat="false" ht="15" hidden="false" customHeight="false" outlineLevel="0" collapsed="false">
      <c r="A595" s="2" t="s">
        <v>45</v>
      </c>
      <c r="B595" s="2" t="n">
        <v>10</v>
      </c>
      <c r="C595" s="2" t="s">
        <v>33</v>
      </c>
      <c r="D595" s="2" t="s">
        <v>34</v>
      </c>
      <c r="E595" s="2" t="s">
        <v>14</v>
      </c>
      <c r="F595" s="2" t="s">
        <v>35</v>
      </c>
      <c r="G595" s="3" t="n">
        <v>4961</v>
      </c>
      <c r="H595" s="4" t="n">
        <v>36.75</v>
      </c>
      <c r="I595" s="4" t="n">
        <f aca="false">G595*H595</f>
        <v>182316.75</v>
      </c>
    </row>
    <row r="596" customFormat="false" ht="15" hidden="false" customHeight="false" outlineLevel="0" collapsed="false">
      <c r="A596" s="2" t="s">
        <v>45</v>
      </c>
      <c r="B596" s="2" t="n">
        <v>10</v>
      </c>
      <c r="C596" s="2" t="s">
        <v>33</v>
      </c>
      <c r="D596" s="2" t="s">
        <v>34</v>
      </c>
      <c r="E596" s="2" t="s">
        <v>15</v>
      </c>
      <c r="F596" s="2" t="s">
        <v>35</v>
      </c>
      <c r="G596" s="3" t="n">
        <v>5885</v>
      </c>
      <c r="H596" s="4" t="n">
        <v>35</v>
      </c>
      <c r="I596" s="4" t="n">
        <f aca="false">G596*H596</f>
        <v>205975</v>
      </c>
    </row>
    <row r="597" customFormat="false" ht="15" hidden="false" customHeight="false" outlineLevel="0" collapsed="false">
      <c r="A597" s="2" t="s">
        <v>45</v>
      </c>
      <c r="B597" s="2" t="n">
        <v>10</v>
      </c>
      <c r="C597" s="2" t="s">
        <v>33</v>
      </c>
      <c r="D597" s="2" t="s">
        <v>34</v>
      </c>
      <c r="E597" s="2" t="s">
        <v>16</v>
      </c>
      <c r="F597" s="2" t="s">
        <v>35</v>
      </c>
      <c r="G597" s="3" t="n">
        <v>7168</v>
      </c>
      <c r="H597" s="4" t="n">
        <v>27.3</v>
      </c>
      <c r="I597" s="4" t="n">
        <f aca="false">G597*H597</f>
        <v>195686.4</v>
      </c>
    </row>
    <row r="598" customFormat="false" ht="15" hidden="false" customHeight="false" outlineLevel="0" collapsed="false">
      <c r="A598" s="2" t="s">
        <v>45</v>
      </c>
      <c r="B598" s="2" t="n">
        <v>10</v>
      </c>
      <c r="C598" s="2" t="s">
        <v>36</v>
      </c>
      <c r="D598" s="2" t="s">
        <v>34</v>
      </c>
      <c r="E598" s="2" t="s">
        <v>12</v>
      </c>
      <c r="F598" s="2" t="s">
        <v>35</v>
      </c>
      <c r="G598" s="3" t="n">
        <v>7961</v>
      </c>
      <c r="H598" s="4" t="n">
        <v>39.6</v>
      </c>
      <c r="I598" s="4" t="n">
        <f aca="false">G598*H598</f>
        <v>315255.6</v>
      </c>
    </row>
    <row r="599" customFormat="false" ht="15" hidden="false" customHeight="false" outlineLevel="0" collapsed="false">
      <c r="A599" s="2" t="s">
        <v>45</v>
      </c>
      <c r="B599" s="2" t="n">
        <v>10</v>
      </c>
      <c r="C599" s="2" t="s">
        <v>36</v>
      </c>
      <c r="D599" s="2" t="s">
        <v>34</v>
      </c>
      <c r="E599" s="2" t="s">
        <v>14</v>
      </c>
      <c r="F599" s="2" t="s">
        <v>35</v>
      </c>
      <c r="G599" s="3" t="n">
        <v>3351</v>
      </c>
      <c r="H599" s="4" t="n">
        <v>46.2</v>
      </c>
      <c r="I599" s="4" t="n">
        <f aca="false">G599*H599</f>
        <v>154816.2</v>
      </c>
    </row>
    <row r="600" customFormat="false" ht="15" hidden="false" customHeight="false" outlineLevel="0" collapsed="false">
      <c r="A600" s="2" t="s">
        <v>45</v>
      </c>
      <c r="B600" s="2" t="n">
        <v>10</v>
      </c>
      <c r="C600" s="2" t="s">
        <v>36</v>
      </c>
      <c r="D600" s="2" t="s">
        <v>34</v>
      </c>
      <c r="E600" s="2" t="s">
        <v>15</v>
      </c>
      <c r="F600" s="2" t="s">
        <v>35</v>
      </c>
      <c r="G600" s="3" t="n">
        <v>4203</v>
      </c>
      <c r="H600" s="4" t="n">
        <v>44</v>
      </c>
      <c r="I600" s="4" t="n">
        <f aca="false">G600*H600</f>
        <v>184932</v>
      </c>
    </row>
    <row r="601" customFormat="false" ht="15" hidden="false" customHeight="false" outlineLevel="0" collapsed="false">
      <c r="A601" s="2" t="s">
        <v>45</v>
      </c>
      <c r="B601" s="2" t="n">
        <v>10</v>
      </c>
      <c r="C601" s="2" t="s">
        <v>36</v>
      </c>
      <c r="D601" s="2" t="s">
        <v>34</v>
      </c>
      <c r="E601" s="2" t="s">
        <v>16</v>
      </c>
      <c r="F601" s="2" t="s">
        <v>35</v>
      </c>
      <c r="G601" s="3" t="n">
        <v>5384</v>
      </c>
      <c r="H601" s="4" t="n">
        <v>34.32</v>
      </c>
      <c r="I601" s="4" t="n">
        <f aca="false">G601*H601</f>
        <v>184778.88</v>
      </c>
    </row>
    <row r="602" customFormat="false" ht="15" hidden="false" customHeight="false" outlineLevel="0" collapsed="false">
      <c r="A602" s="2" t="s">
        <v>46</v>
      </c>
      <c r="B602" s="2" t="n">
        <v>11</v>
      </c>
      <c r="C602" s="2" t="s">
        <v>10</v>
      </c>
      <c r="D602" s="2" t="s">
        <v>11</v>
      </c>
      <c r="E602" s="2" t="s">
        <v>12</v>
      </c>
      <c r="F602" s="2" t="s">
        <v>13</v>
      </c>
      <c r="G602" s="3" t="n">
        <v>4799</v>
      </c>
      <c r="H602" s="4" t="n">
        <v>37.8</v>
      </c>
      <c r="I602" s="4" t="n">
        <f aca="false">G602*H602</f>
        <v>181402.2</v>
      </c>
    </row>
    <row r="603" customFormat="false" ht="15" hidden="false" customHeight="false" outlineLevel="0" collapsed="false">
      <c r="A603" s="2" t="s">
        <v>46</v>
      </c>
      <c r="B603" s="2" t="n">
        <v>11</v>
      </c>
      <c r="C603" s="2" t="s">
        <v>10</v>
      </c>
      <c r="D603" s="2" t="s">
        <v>11</v>
      </c>
      <c r="E603" s="2" t="s">
        <v>14</v>
      </c>
      <c r="F603" s="2" t="s">
        <v>13</v>
      </c>
      <c r="G603" s="3" t="n">
        <v>11230</v>
      </c>
      <c r="H603" s="4" t="n">
        <v>44.1</v>
      </c>
      <c r="I603" s="4" t="n">
        <f aca="false">G603*H603</f>
        <v>495243</v>
      </c>
    </row>
    <row r="604" customFormat="false" ht="15" hidden="false" customHeight="false" outlineLevel="0" collapsed="false">
      <c r="A604" s="2" t="s">
        <v>46</v>
      </c>
      <c r="B604" s="2" t="n">
        <v>11</v>
      </c>
      <c r="C604" s="2" t="s">
        <v>10</v>
      </c>
      <c r="D604" s="2" t="s">
        <v>11</v>
      </c>
      <c r="E604" s="2" t="s">
        <v>15</v>
      </c>
      <c r="F604" s="2" t="s">
        <v>13</v>
      </c>
      <c r="G604" s="3" t="n">
        <v>15316</v>
      </c>
      <c r="H604" s="4" t="n">
        <v>42</v>
      </c>
      <c r="I604" s="4" t="n">
        <f aca="false">G604*H604</f>
        <v>643272</v>
      </c>
    </row>
    <row r="605" customFormat="false" ht="15" hidden="false" customHeight="false" outlineLevel="0" collapsed="false">
      <c r="A605" s="2" t="s">
        <v>46</v>
      </c>
      <c r="B605" s="2" t="n">
        <v>11</v>
      </c>
      <c r="C605" s="2" t="s">
        <v>10</v>
      </c>
      <c r="D605" s="2" t="s">
        <v>11</v>
      </c>
      <c r="E605" s="2" t="s">
        <v>16</v>
      </c>
      <c r="F605" s="2" t="s">
        <v>13</v>
      </c>
      <c r="G605" s="3" t="n">
        <v>18884</v>
      </c>
      <c r="H605" s="4" t="n">
        <v>32.76</v>
      </c>
      <c r="I605" s="4" t="n">
        <f aca="false">G605*H605</f>
        <v>618639.84</v>
      </c>
    </row>
    <row r="606" customFormat="false" ht="15" hidden="false" customHeight="false" outlineLevel="0" collapsed="false">
      <c r="A606" s="2" t="s">
        <v>46</v>
      </c>
      <c r="B606" s="2" t="n">
        <v>11</v>
      </c>
      <c r="C606" s="2" t="s">
        <v>17</v>
      </c>
      <c r="D606" s="2" t="s">
        <v>11</v>
      </c>
      <c r="E606" s="2" t="s">
        <v>12</v>
      </c>
      <c r="F606" s="2" t="s">
        <v>13</v>
      </c>
      <c r="G606" s="3" t="n">
        <v>19216</v>
      </c>
      <c r="H606" s="4" t="n">
        <v>34.2</v>
      </c>
      <c r="I606" s="4" t="n">
        <f aca="false">G606*H606</f>
        <v>657187.2</v>
      </c>
    </row>
    <row r="607" customFormat="false" ht="15" hidden="false" customHeight="false" outlineLevel="0" collapsed="false">
      <c r="A607" s="2" t="s">
        <v>46</v>
      </c>
      <c r="B607" s="2" t="n">
        <v>11</v>
      </c>
      <c r="C607" s="2" t="s">
        <v>17</v>
      </c>
      <c r="D607" s="2" t="s">
        <v>11</v>
      </c>
      <c r="E607" s="2" t="s">
        <v>14</v>
      </c>
      <c r="F607" s="2" t="s">
        <v>13</v>
      </c>
      <c r="G607" s="3" t="n">
        <v>8283</v>
      </c>
      <c r="H607" s="4" t="n">
        <v>39.9</v>
      </c>
      <c r="I607" s="4" t="n">
        <f aca="false">G607*H607</f>
        <v>330491.7</v>
      </c>
    </row>
    <row r="608" customFormat="false" ht="15" hidden="false" customHeight="false" outlineLevel="0" collapsed="false">
      <c r="A608" s="2" t="s">
        <v>46</v>
      </c>
      <c r="B608" s="2" t="n">
        <v>11</v>
      </c>
      <c r="C608" s="2" t="s">
        <v>17</v>
      </c>
      <c r="D608" s="2" t="s">
        <v>11</v>
      </c>
      <c r="E608" s="2" t="s">
        <v>15</v>
      </c>
      <c r="F608" s="2" t="s">
        <v>13</v>
      </c>
      <c r="G608" s="3" t="n">
        <v>9865</v>
      </c>
      <c r="H608" s="4" t="n">
        <v>38</v>
      </c>
      <c r="I608" s="4" t="n">
        <f aca="false">G608*H608</f>
        <v>374870</v>
      </c>
    </row>
    <row r="609" customFormat="false" ht="15" hidden="false" customHeight="false" outlineLevel="0" collapsed="false">
      <c r="A609" s="2" t="s">
        <v>46</v>
      </c>
      <c r="B609" s="2" t="n">
        <v>11</v>
      </c>
      <c r="C609" s="2" t="s">
        <v>17</v>
      </c>
      <c r="D609" s="2" t="s">
        <v>11</v>
      </c>
      <c r="E609" s="2" t="s">
        <v>16</v>
      </c>
      <c r="F609" s="2" t="s">
        <v>13</v>
      </c>
      <c r="G609" s="3" t="n">
        <v>12819</v>
      </c>
      <c r="H609" s="4" t="n">
        <v>29.64</v>
      </c>
      <c r="I609" s="4" t="n">
        <f aca="false">G609*H609</f>
        <v>379955.16</v>
      </c>
    </row>
    <row r="610" customFormat="false" ht="15" hidden="false" customHeight="false" outlineLevel="0" collapsed="false">
      <c r="A610" s="2" t="s">
        <v>46</v>
      </c>
      <c r="B610" s="2" t="n">
        <v>11</v>
      </c>
      <c r="C610" s="2" t="s">
        <v>18</v>
      </c>
      <c r="D610" s="2" t="s">
        <v>11</v>
      </c>
      <c r="E610" s="2" t="s">
        <v>12</v>
      </c>
      <c r="F610" s="2" t="s">
        <v>13</v>
      </c>
      <c r="G610" s="3" t="n">
        <v>10146</v>
      </c>
      <c r="H610" s="4" t="n">
        <v>49.5</v>
      </c>
      <c r="I610" s="4" t="n">
        <f aca="false">G610*H610</f>
        <v>502227</v>
      </c>
    </row>
    <row r="611" customFormat="false" ht="15" hidden="false" customHeight="false" outlineLevel="0" collapsed="false">
      <c r="A611" s="2" t="s">
        <v>46</v>
      </c>
      <c r="B611" s="2" t="n">
        <v>11</v>
      </c>
      <c r="C611" s="2" t="s">
        <v>18</v>
      </c>
      <c r="D611" s="2" t="s">
        <v>11</v>
      </c>
      <c r="E611" s="2" t="s">
        <v>14</v>
      </c>
      <c r="F611" s="2" t="s">
        <v>13</v>
      </c>
      <c r="G611" s="3" t="n">
        <v>4366</v>
      </c>
      <c r="H611" s="4" t="n">
        <v>57.75</v>
      </c>
      <c r="I611" s="4" t="n">
        <f aca="false">G611*H611</f>
        <v>252136.5</v>
      </c>
    </row>
    <row r="612" customFormat="false" ht="15" hidden="false" customHeight="false" outlineLevel="0" collapsed="false">
      <c r="A612" s="2" t="s">
        <v>46</v>
      </c>
      <c r="B612" s="2" t="n">
        <v>11</v>
      </c>
      <c r="C612" s="2" t="s">
        <v>18</v>
      </c>
      <c r="D612" s="2" t="s">
        <v>11</v>
      </c>
      <c r="E612" s="2" t="s">
        <v>15</v>
      </c>
      <c r="F612" s="2" t="s">
        <v>13</v>
      </c>
      <c r="G612" s="3" t="n">
        <v>5489</v>
      </c>
      <c r="H612" s="4" t="n">
        <v>55</v>
      </c>
      <c r="I612" s="4" t="n">
        <f aca="false">G612*H612</f>
        <v>301895</v>
      </c>
    </row>
    <row r="613" customFormat="false" ht="15" hidden="false" customHeight="false" outlineLevel="0" collapsed="false">
      <c r="A613" s="2" t="s">
        <v>46</v>
      </c>
      <c r="B613" s="2" t="n">
        <v>11</v>
      </c>
      <c r="C613" s="2" t="s">
        <v>18</v>
      </c>
      <c r="D613" s="2" t="s">
        <v>11</v>
      </c>
      <c r="E613" s="2" t="s">
        <v>16</v>
      </c>
      <c r="F613" s="2" t="s">
        <v>13</v>
      </c>
      <c r="G613" s="3" t="n">
        <v>6438</v>
      </c>
      <c r="H613" s="4" t="n">
        <v>42.9</v>
      </c>
      <c r="I613" s="4" t="n">
        <f aca="false">G613*H613</f>
        <v>276190.2</v>
      </c>
    </row>
    <row r="614" customFormat="false" ht="15" hidden="false" customHeight="false" outlineLevel="0" collapsed="false">
      <c r="A614" s="2" t="s">
        <v>46</v>
      </c>
      <c r="B614" s="2" t="n">
        <v>11</v>
      </c>
      <c r="C614" s="2" t="s">
        <v>19</v>
      </c>
      <c r="D614" s="2" t="s">
        <v>20</v>
      </c>
      <c r="E614" s="2" t="s">
        <v>12</v>
      </c>
      <c r="F614" s="2" t="s">
        <v>13</v>
      </c>
      <c r="G614" s="3" t="n">
        <v>20552</v>
      </c>
      <c r="H614" s="4" t="n">
        <v>23.4</v>
      </c>
      <c r="I614" s="4" t="n">
        <f aca="false">G614*H614</f>
        <v>480916.8</v>
      </c>
    </row>
    <row r="615" customFormat="false" ht="15" hidden="false" customHeight="false" outlineLevel="0" collapsed="false">
      <c r="A615" s="2" t="s">
        <v>46</v>
      </c>
      <c r="B615" s="2" t="n">
        <v>11</v>
      </c>
      <c r="C615" s="2" t="s">
        <v>19</v>
      </c>
      <c r="D615" s="2" t="s">
        <v>20</v>
      </c>
      <c r="E615" s="2" t="s">
        <v>14</v>
      </c>
      <c r="F615" s="2" t="s">
        <v>13</v>
      </c>
      <c r="G615" s="3" t="n">
        <v>9369</v>
      </c>
      <c r="H615" s="4" t="n">
        <v>27.3</v>
      </c>
      <c r="I615" s="4" t="n">
        <f aca="false">G615*H615</f>
        <v>255773.7</v>
      </c>
    </row>
    <row r="616" customFormat="false" ht="15" hidden="false" customHeight="false" outlineLevel="0" collapsed="false">
      <c r="A616" s="2" t="s">
        <v>46</v>
      </c>
      <c r="B616" s="2" t="n">
        <v>11</v>
      </c>
      <c r="C616" s="2" t="s">
        <v>19</v>
      </c>
      <c r="D616" s="2" t="s">
        <v>20</v>
      </c>
      <c r="E616" s="2" t="s">
        <v>15</v>
      </c>
      <c r="F616" s="2" t="s">
        <v>13</v>
      </c>
      <c r="G616" s="3" t="n">
        <v>11063</v>
      </c>
      <c r="H616" s="4" t="n">
        <v>26</v>
      </c>
      <c r="I616" s="4" t="n">
        <f aca="false">G616*H616</f>
        <v>287638</v>
      </c>
    </row>
    <row r="617" customFormat="false" ht="15" hidden="false" customHeight="false" outlineLevel="0" collapsed="false">
      <c r="A617" s="2" t="s">
        <v>46</v>
      </c>
      <c r="B617" s="2" t="n">
        <v>11</v>
      </c>
      <c r="C617" s="2" t="s">
        <v>19</v>
      </c>
      <c r="D617" s="2" t="s">
        <v>20</v>
      </c>
      <c r="E617" s="2" t="s">
        <v>16</v>
      </c>
      <c r="F617" s="2" t="s">
        <v>13</v>
      </c>
      <c r="G617" s="3" t="n">
        <v>14889</v>
      </c>
      <c r="H617" s="4" t="n">
        <v>20.28</v>
      </c>
      <c r="I617" s="4" t="n">
        <f aca="false">G617*H617</f>
        <v>301948.92</v>
      </c>
    </row>
    <row r="618" customFormat="false" ht="15" hidden="false" customHeight="false" outlineLevel="0" collapsed="false">
      <c r="A618" s="2" t="s">
        <v>46</v>
      </c>
      <c r="B618" s="2" t="n">
        <v>11</v>
      </c>
      <c r="C618" s="2" t="s">
        <v>21</v>
      </c>
      <c r="D618" s="2" t="s">
        <v>20</v>
      </c>
      <c r="E618" s="2" t="s">
        <v>12</v>
      </c>
      <c r="F618" s="2" t="s">
        <v>22</v>
      </c>
      <c r="G618" s="3" t="n">
        <v>24532</v>
      </c>
      <c r="H618" s="4" t="n">
        <v>12.6</v>
      </c>
      <c r="I618" s="4" t="n">
        <f aca="false">G618*H618</f>
        <v>309103.2</v>
      </c>
    </row>
    <row r="619" customFormat="false" ht="15" hidden="false" customHeight="false" outlineLevel="0" collapsed="false">
      <c r="A619" s="2" t="s">
        <v>46</v>
      </c>
      <c r="B619" s="2" t="n">
        <v>11</v>
      </c>
      <c r="C619" s="2" t="s">
        <v>21</v>
      </c>
      <c r="D619" s="2" t="s">
        <v>20</v>
      </c>
      <c r="E619" s="2" t="s">
        <v>14</v>
      </c>
      <c r="F619" s="2" t="s">
        <v>22</v>
      </c>
      <c r="G619" s="3" t="n">
        <v>10459</v>
      </c>
      <c r="H619" s="4" t="n">
        <v>14.7</v>
      </c>
      <c r="I619" s="4" t="n">
        <f aca="false">G619*H619</f>
        <v>153747.3</v>
      </c>
    </row>
    <row r="620" customFormat="false" ht="15" hidden="false" customHeight="false" outlineLevel="0" collapsed="false">
      <c r="A620" s="2" t="s">
        <v>46</v>
      </c>
      <c r="B620" s="2" t="n">
        <v>11</v>
      </c>
      <c r="C620" s="2" t="s">
        <v>21</v>
      </c>
      <c r="D620" s="2" t="s">
        <v>20</v>
      </c>
      <c r="E620" s="2" t="s">
        <v>15</v>
      </c>
      <c r="F620" s="2" t="s">
        <v>22</v>
      </c>
      <c r="G620" s="3" t="n">
        <v>12886</v>
      </c>
      <c r="H620" s="4" t="n">
        <v>14</v>
      </c>
      <c r="I620" s="4" t="n">
        <f aca="false">G620*H620</f>
        <v>180404</v>
      </c>
    </row>
    <row r="621" customFormat="false" ht="15" hidden="false" customHeight="false" outlineLevel="0" collapsed="false">
      <c r="A621" s="2" t="s">
        <v>46</v>
      </c>
      <c r="B621" s="2" t="n">
        <v>11</v>
      </c>
      <c r="C621" s="2" t="s">
        <v>21</v>
      </c>
      <c r="D621" s="2" t="s">
        <v>20</v>
      </c>
      <c r="E621" s="2" t="s">
        <v>16</v>
      </c>
      <c r="F621" s="2" t="s">
        <v>22</v>
      </c>
      <c r="G621" s="3" t="n">
        <v>17335</v>
      </c>
      <c r="H621" s="4" t="n">
        <v>10.92</v>
      </c>
      <c r="I621" s="4" t="n">
        <f aca="false">G621*H621</f>
        <v>189298.2</v>
      </c>
    </row>
    <row r="622" customFormat="false" ht="15" hidden="false" customHeight="false" outlineLevel="0" collapsed="false">
      <c r="A622" s="2" t="s">
        <v>46</v>
      </c>
      <c r="B622" s="2" t="n">
        <v>11</v>
      </c>
      <c r="C622" s="2" t="s">
        <v>23</v>
      </c>
      <c r="D622" s="2" t="s">
        <v>20</v>
      </c>
      <c r="E622" s="2" t="s">
        <v>12</v>
      </c>
      <c r="F622" s="2" t="s">
        <v>13</v>
      </c>
      <c r="G622" s="3" t="n">
        <v>8488</v>
      </c>
      <c r="H622" s="4" t="n">
        <v>27.9</v>
      </c>
      <c r="I622" s="4" t="n">
        <f aca="false">G622*H622</f>
        <v>236815.2</v>
      </c>
    </row>
    <row r="623" customFormat="false" ht="15" hidden="false" customHeight="false" outlineLevel="0" collapsed="false">
      <c r="A623" s="2" t="s">
        <v>46</v>
      </c>
      <c r="B623" s="2" t="n">
        <v>11</v>
      </c>
      <c r="C623" s="2" t="s">
        <v>23</v>
      </c>
      <c r="D623" s="2" t="s">
        <v>20</v>
      </c>
      <c r="E623" s="2" t="s">
        <v>14</v>
      </c>
      <c r="F623" s="2" t="s">
        <v>13</v>
      </c>
      <c r="G623" s="3" t="n">
        <v>3748</v>
      </c>
      <c r="H623" s="4" t="n">
        <v>32.55</v>
      </c>
      <c r="I623" s="4" t="n">
        <f aca="false">G623*H623</f>
        <v>121997.4</v>
      </c>
    </row>
    <row r="624" customFormat="false" ht="15" hidden="false" customHeight="false" outlineLevel="0" collapsed="false">
      <c r="A624" s="2" t="s">
        <v>46</v>
      </c>
      <c r="B624" s="2" t="n">
        <v>11</v>
      </c>
      <c r="C624" s="2" t="s">
        <v>23</v>
      </c>
      <c r="D624" s="2" t="s">
        <v>20</v>
      </c>
      <c r="E624" s="2" t="s">
        <v>15</v>
      </c>
      <c r="F624" s="2" t="s">
        <v>13</v>
      </c>
      <c r="G624" s="3" t="n">
        <v>4685</v>
      </c>
      <c r="H624" s="4" t="n">
        <v>31</v>
      </c>
      <c r="I624" s="4" t="n">
        <f aca="false">G624*H624</f>
        <v>145235</v>
      </c>
    </row>
    <row r="625" customFormat="false" ht="15" hidden="false" customHeight="false" outlineLevel="0" collapsed="false">
      <c r="A625" s="2" t="s">
        <v>46</v>
      </c>
      <c r="B625" s="2" t="n">
        <v>11</v>
      </c>
      <c r="C625" s="2" t="s">
        <v>23</v>
      </c>
      <c r="D625" s="2" t="s">
        <v>20</v>
      </c>
      <c r="E625" s="2" t="s">
        <v>16</v>
      </c>
      <c r="F625" s="2" t="s">
        <v>13</v>
      </c>
      <c r="G625" s="3" t="n">
        <v>5636</v>
      </c>
      <c r="H625" s="4" t="n">
        <v>24.18</v>
      </c>
      <c r="I625" s="4" t="n">
        <f aca="false">G625*H625</f>
        <v>136278.48</v>
      </c>
    </row>
    <row r="626" customFormat="false" ht="15" hidden="false" customHeight="false" outlineLevel="0" collapsed="false">
      <c r="A626" s="2" t="s">
        <v>46</v>
      </c>
      <c r="B626" s="2" t="n">
        <v>11</v>
      </c>
      <c r="C626" s="2" t="s">
        <v>24</v>
      </c>
      <c r="D626" s="2" t="s">
        <v>20</v>
      </c>
      <c r="E626" s="2" t="s">
        <v>12</v>
      </c>
      <c r="F626" s="2" t="s">
        <v>22</v>
      </c>
      <c r="G626" s="3" t="n">
        <v>28691</v>
      </c>
      <c r="H626" s="4" t="n">
        <v>10.8</v>
      </c>
      <c r="I626" s="4" t="n">
        <f aca="false">G626*H626</f>
        <v>309862.8</v>
      </c>
    </row>
    <row r="627" customFormat="false" ht="15" hidden="false" customHeight="false" outlineLevel="0" collapsed="false">
      <c r="A627" s="2" t="s">
        <v>46</v>
      </c>
      <c r="B627" s="2" t="n">
        <v>11</v>
      </c>
      <c r="C627" s="2" t="s">
        <v>24</v>
      </c>
      <c r="D627" s="2" t="s">
        <v>20</v>
      </c>
      <c r="E627" s="2" t="s">
        <v>14</v>
      </c>
      <c r="F627" s="2" t="s">
        <v>22</v>
      </c>
      <c r="G627" s="3" t="n">
        <v>12046</v>
      </c>
      <c r="H627" s="4" t="n">
        <v>12.6</v>
      </c>
      <c r="I627" s="4" t="n">
        <f aca="false">G627*H627</f>
        <v>151779.6</v>
      </c>
    </row>
    <row r="628" customFormat="false" ht="15" hidden="false" customHeight="false" outlineLevel="0" collapsed="false">
      <c r="A628" s="2" t="s">
        <v>46</v>
      </c>
      <c r="B628" s="2" t="n">
        <v>11</v>
      </c>
      <c r="C628" s="2" t="s">
        <v>24</v>
      </c>
      <c r="D628" s="2" t="s">
        <v>20</v>
      </c>
      <c r="E628" s="2" t="s">
        <v>15</v>
      </c>
      <c r="F628" s="2" t="s">
        <v>22</v>
      </c>
      <c r="G628" s="3" t="n">
        <v>15393</v>
      </c>
      <c r="H628" s="4" t="n">
        <v>12</v>
      </c>
      <c r="I628" s="4" t="n">
        <f aca="false">G628*H628</f>
        <v>184716</v>
      </c>
    </row>
    <row r="629" customFormat="false" ht="15" hidden="false" customHeight="false" outlineLevel="0" collapsed="false">
      <c r="A629" s="2" t="s">
        <v>46</v>
      </c>
      <c r="B629" s="2" t="n">
        <v>11</v>
      </c>
      <c r="C629" s="2" t="s">
        <v>24</v>
      </c>
      <c r="D629" s="2" t="s">
        <v>20</v>
      </c>
      <c r="E629" s="2" t="s">
        <v>16</v>
      </c>
      <c r="F629" s="2" t="s">
        <v>22</v>
      </c>
      <c r="G629" s="3" t="n">
        <v>19593</v>
      </c>
      <c r="H629" s="4" t="n">
        <v>9.36</v>
      </c>
      <c r="I629" s="4" t="n">
        <f aca="false">G629*H629</f>
        <v>183390.48</v>
      </c>
    </row>
    <row r="630" customFormat="false" ht="15" hidden="false" customHeight="false" outlineLevel="0" collapsed="false">
      <c r="A630" s="2" t="s">
        <v>46</v>
      </c>
      <c r="B630" s="2" t="n">
        <v>11</v>
      </c>
      <c r="C630" s="2" t="s">
        <v>25</v>
      </c>
      <c r="D630" s="2" t="s">
        <v>20</v>
      </c>
      <c r="E630" s="2" t="s">
        <v>12</v>
      </c>
      <c r="F630" s="2" t="s">
        <v>22</v>
      </c>
      <c r="G630" s="3" t="n">
        <v>37320</v>
      </c>
      <c r="H630" s="4" t="n">
        <v>8.1</v>
      </c>
      <c r="I630" s="4" t="n">
        <f aca="false">G630*H630</f>
        <v>302292</v>
      </c>
    </row>
    <row r="631" customFormat="false" ht="15" hidden="false" customHeight="false" outlineLevel="0" collapsed="false">
      <c r="A631" s="2" t="s">
        <v>46</v>
      </c>
      <c r="B631" s="2" t="n">
        <v>11</v>
      </c>
      <c r="C631" s="2" t="s">
        <v>25</v>
      </c>
      <c r="D631" s="2" t="s">
        <v>20</v>
      </c>
      <c r="E631" s="2" t="s">
        <v>14</v>
      </c>
      <c r="F631" s="2" t="s">
        <v>22</v>
      </c>
      <c r="G631" s="3" t="n">
        <v>17005</v>
      </c>
      <c r="H631" s="4" t="n">
        <v>9.45</v>
      </c>
      <c r="I631" s="4" t="n">
        <f aca="false">G631*H631</f>
        <v>160697.25</v>
      </c>
    </row>
    <row r="632" customFormat="false" ht="15" hidden="false" customHeight="false" outlineLevel="0" collapsed="false">
      <c r="A632" s="2" t="s">
        <v>46</v>
      </c>
      <c r="B632" s="2" t="n">
        <v>11</v>
      </c>
      <c r="C632" s="2" t="s">
        <v>25</v>
      </c>
      <c r="D632" s="2" t="s">
        <v>20</v>
      </c>
      <c r="E632" s="2" t="s">
        <v>15</v>
      </c>
      <c r="F632" s="2" t="s">
        <v>22</v>
      </c>
      <c r="G632" s="3" t="n">
        <v>21160</v>
      </c>
      <c r="H632" s="4" t="n">
        <v>9</v>
      </c>
      <c r="I632" s="4" t="n">
        <f aca="false">G632*H632</f>
        <v>190440</v>
      </c>
    </row>
    <row r="633" customFormat="false" ht="15" hidden="false" customHeight="false" outlineLevel="0" collapsed="false">
      <c r="A633" s="2" t="s">
        <v>46</v>
      </c>
      <c r="B633" s="2" t="n">
        <v>11</v>
      </c>
      <c r="C633" s="2" t="s">
        <v>25</v>
      </c>
      <c r="D633" s="2" t="s">
        <v>20</v>
      </c>
      <c r="E633" s="2" t="s">
        <v>16</v>
      </c>
      <c r="F633" s="2" t="s">
        <v>22</v>
      </c>
      <c r="G633" s="3" t="n">
        <v>26193</v>
      </c>
      <c r="H633" s="4" t="n">
        <v>7.02</v>
      </c>
      <c r="I633" s="4" t="n">
        <f aca="false">G633*H633</f>
        <v>183874.86</v>
      </c>
    </row>
    <row r="634" customFormat="false" ht="15" hidden="false" customHeight="false" outlineLevel="0" collapsed="false">
      <c r="A634" s="2" t="s">
        <v>46</v>
      </c>
      <c r="B634" s="2" t="n">
        <v>11</v>
      </c>
      <c r="C634" s="2" t="s">
        <v>26</v>
      </c>
      <c r="D634" s="2" t="s">
        <v>20</v>
      </c>
      <c r="E634" s="2" t="s">
        <v>12</v>
      </c>
      <c r="F634" s="2" t="s">
        <v>22</v>
      </c>
      <c r="G634" s="3" t="n">
        <v>24461</v>
      </c>
      <c r="H634" s="4" t="n">
        <v>14.4</v>
      </c>
      <c r="I634" s="4" t="n">
        <f aca="false">G634*H634</f>
        <v>352238.4</v>
      </c>
    </row>
    <row r="635" customFormat="false" ht="15" hidden="false" customHeight="false" outlineLevel="0" collapsed="false">
      <c r="A635" s="2" t="s">
        <v>46</v>
      </c>
      <c r="B635" s="2" t="n">
        <v>11</v>
      </c>
      <c r="C635" s="2" t="s">
        <v>26</v>
      </c>
      <c r="D635" s="2" t="s">
        <v>20</v>
      </c>
      <c r="E635" s="2" t="s">
        <v>14</v>
      </c>
      <c r="F635" s="2" t="s">
        <v>22</v>
      </c>
      <c r="G635" s="3" t="n">
        <v>10394</v>
      </c>
      <c r="H635" s="4" t="n">
        <v>16.8</v>
      </c>
      <c r="I635" s="4" t="n">
        <f aca="false">G635*H635</f>
        <v>174619.2</v>
      </c>
    </row>
    <row r="636" customFormat="false" ht="15" hidden="false" customHeight="false" outlineLevel="0" collapsed="false">
      <c r="A636" s="2" t="s">
        <v>46</v>
      </c>
      <c r="B636" s="2" t="n">
        <v>11</v>
      </c>
      <c r="C636" s="2" t="s">
        <v>26</v>
      </c>
      <c r="D636" s="2" t="s">
        <v>20</v>
      </c>
      <c r="E636" s="2" t="s">
        <v>15</v>
      </c>
      <c r="F636" s="2" t="s">
        <v>22</v>
      </c>
      <c r="G636" s="3" t="n">
        <v>11486</v>
      </c>
      <c r="H636" s="4" t="n">
        <v>16</v>
      </c>
      <c r="I636" s="4" t="n">
        <f aca="false">G636*H636</f>
        <v>183776</v>
      </c>
    </row>
    <row r="637" customFormat="false" ht="15" hidden="false" customHeight="false" outlineLevel="0" collapsed="false">
      <c r="A637" s="2" t="s">
        <v>46</v>
      </c>
      <c r="B637" s="2" t="n">
        <v>11</v>
      </c>
      <c r="C637" s="2" t="s">
        <v>26</v>
      </c>
      <c r="D637" s="2" t="s">
        <v>20</v>
      </c>
      <c r="E637" s="2" t="s">
        <v>16</v>
      </c>
      <c r="F637" s="2" t="s">
        <v>22</v>
      </c>
      <c r="G637" s="3" t="n">
        <v>15866</v>
      </c>
      <c r="H637" s="4" t="n">
        <v>12.48</v>
      </c>
      <c r="I637" s="4" t="n">
        <f aca="false">G637*H637</f>
        <v>198007.68</v>
      </c>
    </row>
    <row r="638" customFormat="false" ht="15" hidden="false" customHeight="false" outlineLevel="0" collapsed="false">
      <c r="A638" s="2" t="s">
        <v>46</v>
      </c>
      <c r="B638" s="2" t="n">
        <v>11</v>
      </c>
      <c r="C638" s="2" t="s">
        <v>27</v>
      </c>
      <c r="D638" s="2" t="s">
        <v>28</v>
      </c>
      <c r="E638" s="2" t="s">
        <v>12</v>
      </c>
      <c r="F638" s="2" t="s">
        <v>29</v>
      </c>
      <c r="G638" s="3" t="n">
        <v>14296</v>
      </c>
      <c r="H638" s="4" t="n">
        <v>43.2</v>
      </c>
      <c r="I638" s="4" t="n">
        <f aca="false">G638*H638</f>
        <v>617587.2</v>
      </c>
    </row>
    <row r="639" customFormat="false" ht="15" hidden="false" customHeight="false" outlineLevel="0" collapsed="false">
      <c r="A639" s="2" t="s">
        <v>46</v>
      </c>
      <c r="B639" s="2" t="n">
        <v>11</v>
      </c>
      <c r="C639" s="2" t="s">
        <v>27</v>
      </c>
      <c r="D639" s="2" t="s">
        <v>28</v>
      </c>
      <c r="E639" s="2" t="s">
        <v>14</v>
      </c>
      <c r="F639" s="2" t="s">
        <v>29</v>
      </c>
      <c r="G639" s="3" t="n">
        <v>6701</v>
      </c>
      <c r="H639" s="4" t="n">
        <v>50.4</v>
      </c>
      <c r="I639" s="4" t="n">
        <f aca="false">G639*H639</f>
        <v>337730.4</v>
      </c>
    </row>
    <row r="640" customFormat="false" ht="15" hidden="false" customHeight="false" outlineLevel="0" collapsed="false">
      <c r="A640" s="2" t="s">
        <v>46</v>
      </c>
      <c r="B640" s="2" t="n">
        <v>11</v>
      </c>
      <c r="C640" s="2" t="s">
        <v>27</v>
      </c>
      <c r="D640" s="2" t="s">
        <v>28</v>
      </c>
      <c r="E640" s="2" t="s">
        <v>15</v>
      </c>
      <c r="F640" s="2" t="s">
        <v>29</v>
      </c>
      <c r="G640" s="3" t="n">
        <v>7559</v>
      </c>
      <c r="H640" s="4" t="n">
        <v>48</v>
      </c>
      <c r="I640" s="4" t="n">
        <f aca="false">G640*H640</f>
        <v>362832</v>
      </c>
    </row>
    <row r="641" customFormat="false" ht="15" hidden="false" customHeight="false" outlineLevel="0" collapsed="false">
      <c r="A641" s="2" t="s">
        <v>46</v>
      </c>
      <c r="B641" s="2" t="n">
        <v>11</v>
      </c>
      <c r="C641" s="2" t="s">
        <v>27</v>
      </c>
      <c r="D641" s="2" t="s">
        <v>28</v>
      </c>
      <c r="E641" s="2" t="s">
        <v>16</v>
      </c>
      <c r="F641" s="2" t="s">
        <v>29</v>
      </c>
      <c r="G641" s="3" t="n">
        <v>9889</v>
      </c>
      <c r="H641" s="4" t="n">
        <v>37.44</v>
      </c>
      <c r="I641" s="4" t="n">
        <f aca="false">G641*H641</f>
        <v>370244.16</v>
      </c>
    </row>
    <row r="642" customFormat="false" ht="15" hidden="false" customHeight="false" outlineLevel="0" collapsed="false">
      <c r="A642" s="2" t="s">
        <v>46</v>
      </c>
      <c r="B642" s="2" t="n">
        <v>11</v>
      </c>
      <c r="C642" s="2" t="s">
        <v>30</v>
      </c>
      <c r="D642" s="2" t="s">
        <v>28</v>
      </c>
      <c r="E642" s="2" t="s">
        <v>12</v>
      </c>
      <c r="F642" s="2" t="s">
        <v>29</v>
      </c>
      <c r="G642" s="3" t="n">
        <v>5578</v>
      </c>
      <c r="H642" s="4" t="n">
        <v>108</v>
      </c>
      <c r="I642" s="4" t="n">
        <f aca="false">G642*H642</f>
        <v>602424</v>
      </c>
    </row>
    <row r="643" customFormat="false" ht="15" hidden="false" customHeight="false" outlineLevel="0" collapsed="false">
      <c r="A643" s="2" t="s">
        <v>46</v>
      </c>
      <c r="B643" s="2" t="n">
        <v>11</v>
      </c>
      <c r="C643" s="2" t="s">
        <v>30</v>
      </c>
      <c r="D643" s="2" t="s">
        <v>28</v>
      </c>
      <c r="E643" s="2" t="s">
        <v>14</v>
      </c>
      <c r="F643" s="2" t="s">
        <v>29</v>
      </c>
      <c r="G643" s="3" t="n">
        <v>2366</v>
      </c>
      <c r="H643" s="4" t="n">
        <v>126</v>
      </c>
      <c r="I643" s="4" t="n">
        <f aca="false">G643*H643</f>
        <v>298116</v>
      </c>
    </row>
    <row r="644" customFormat="false" ht="15" hidden="false" customHeight="false" outlineLevel="0" collapsed="false">
      <c r="A644" s="2" t="s">
        <v>46</v>
      </c>
      <c r="B644" s="2" t="n">
        <v>11</v>
      </c>
      <c r="C644" s="2" t="s">
        <v>30</v>
      </c>
      <c r="D644" s="2" t="s">
        <v>28</v>
      </c>
      <c r="E644" s="2" t="s">
        <v>15</v>
      </c>
      <c r="F644" s="2" t="s">
        <v>29</v>
      </c>
      <c r="G644" s="3" t="n">
        <v>2795</v>
      </c>
      <c r="H644" s="4" t="n">
        <v>120</v>
      </c>
      <c r="I644" s="4" t="n">
        <f aca="false">G644*H644</f>
        <v>335400</v>
      </c>
    </row>
    <row r="645" customFormat="false" ht="15" hidden="false" customHeight="false" outlineLevel="0" collapsed="false">
      <c r="A645" s="2" t="s">
        <v>46</v>
      </c>
      <c r="B645" s="2" t="n">
        <v>11</v>
      </c>
      <c r="C645" s="2" t="s">
        <v>30</v>
      </c>
      <c r="D645" s="2" t="s">
        <v>28</v>
      </c>
      <c r="E645" s="2" t="s">
        <v>16</v>
      </c>
      <c r="F645" s="2" t="s">
        <v>29</v>
      </c>
      <c r="G645" s="3" t="n">
        <v>3359</v>
      </c>
      <c r="H645" s="4" t="n">
        <v>93.6</v>
      </c>
      <c r="I645" s="4" t="n">
        <f aca="false">G645*H645</f>
        <v>314402.4</v>
      </c>
    </row>
    <row r="646" customFormat="false" ht="15" hidden="false" customHeight="false" outlineLevel="0" collapsed="false">
      <c r="A646" s="2" t="s">
        <v>46</v>
      </c>
      <c r="B646" s="2" t="n">
        <v>11</v>
      </c>
      <c r="C646" s="2" t="s">
        <v>31</v>
      </c>
      <c r="D646" s="2" t="s">
        <v>28</v>
      </c>
      <c r="E646" s="2" t="s">
        <v>12</v>
      </c>
      <c r="F646" s="2" t="s">
        <v>29</v>
      </c>
      <c r="G646" s="3" t="n">
        <v>6684</v>
      </c>
      <c r="H646" s="4" t="n">
        <v>85.5</v>
      </c>
      <c r="I646" s="4" t="n">
        <f aca="false">G646*H646</f>
        <v>571482</v>
      </c>
    </row>
    <row r="647" customFormat="false" ht="15" hidden="false" customHeight="false" outlineLevel="0" collapsed="false">
      <c r="A647" s="2" t="s">
        <v>46</v>
      </c>
      <c r="B647" s="2" t="n">
        <v>11</v>
      </c>
      <c r="C647" s="2" t="s">
        <v>31</v>
      </c>
      <c r="D647" s="2" t="s">
        <v>28</v>
      </c>
      <c r="E647" s="2" t="s">
        <v>14</v>
      </c>
      <c r="F647" s="2" t="s">
        <v>29</v>
      </c>
      <c r="G647" s="3" t="n">
        <v>2972</v>
      </c>
      <c r="H647" s="4" t="n">
        <v>99.75</v>
      </c>
      <c r="I647" s="4" t="n">
        <f aca="false">G647*H647</f>
        <v>296457</v>
      </c>
    </row>
    <row r="648" customFormat="false" ht="15" hidden="false" customHeight="false" outlineLevel="0" collapsed="false">
      <c r="A648" s="2" t="s">
        <v>46</v>
      </c>
      <c r="B648" s="2" t="n">
        <v>11</v>
      </c>
      <c r="C648" s="2" t="s">
        <v>31</v>
      </c>
      <c r="D648" s="2" t="s">
        <v>28</v>
      </c>
      <c r="E648" s="2" t="s">
        <v>15</v>
      </c>
      <c r="F648" s="2" t="s">
        <v>29</v>
      </c>
      <c r="G648" s="3" t="n">
        <v>3309</v>
      </c>
      <c r="H648" s="4" t="n">
        <v>95</v>
      </c>
      <c r="I648" s="4" t="n">
        <f aca="false">G648*H648</f>
        <v>314355</v>
      </c>
    </row>
    <row r="649" customFormat="false" ht="15" hidden="false" customHeight="false" outlineLevel="0" collapsed="false">
      <c r="A649" s="2" t="s">
        <v>46</v>
      </c>
      <c r="B649" s="2" t="n">
        <v>11</v>
      </c>
      <c r="C649" s="2" t="s">
        <v>31</v>
      </c>
      <c r="D649" s="2" t="s">
        <v>28</v>
      </c>
      <c r="E649" s="2" t="s">
        <v>16</v>
      </c>
      <c r="F649" s="2" t="s">
        <v>29</v>
      </c>
      <c r="G649" s="3" t="n">
        <v>4472</v>
      </c>
      <c r="H649" s="4" t="n">
        <v>74.1</v>
      </c>
      <c r="I649" s="4" t="n">
        <f aca="false">G649*H649</f>
        <v>331375.2</v>
      </c>
    </row>
    <row r="650" customFormat="false" ht="15" hidden="false" customHeight="false" outlineLevel="0" collapsed="false">
      <c r="A650" s="2" t="s">
        <v>46</v>
      </c>
      <c r="B650" s="2" t="n">
        <v>11</v>
      </c>
      <c r="C650" s="2" t="s">
        <v>32</v>
      </c>
      <c r="D650" s="2" t="s">
        <v>28</v>
      </c>
      <c r="E650" s="2" t="s">
        <v>12</v>
      </c>
      <c r="F650" s="2" t="s">
        <v>29</v>
      </c>
      <c r="G650" s="3" t="n">
        <v>8865</v>
      </c>
      <c r="H650" s="4" t="n">
        <v>61.2</v>
      </c>
      <c r="I650" s="4" t="n">
        <f aca="false">G650*H650</f>
        <v>542538</v>
      </c>
    </row>
    <row r="651" customFormat="false" ht="15" hidden="false" customHeight="false" outlineLevel="0" collapsed="false">
      <c r="A651" s="2" t="s">
        <v>46</v>
      </c>
      <c r="B651" s="2" t="n">
        <v>11</v>
      </c>
      <c r="C651" s="2" t="s">
        <v>32</v>
      </c>
      <c r="D651" s="2" t="s">
        <v>28</v>
      </c>
      <c r="E651" s="2" t="s">
        <v>14</v>
      </c>
      <c r="F651" s="2" t="s">
        <v>29</v>
      </c>
      <c r="G651" s="3" t="n">
        <v>4202</v>
      </c>
      <c r="H651" s="4" t="n">
        <v>71.4</v>
      </c>
      <c r="I651" s="4" t="n">
        <f aca="false">G651*H651</f>
        <v>300022.8</v>
      </c>
    </row>
    <row r="652" customFormat="false" ht="15" hidden="false" customHeight="false" outlineLevel="0" collapsed="false">
      <c r="A652" s="2" t="s">
        <v>46</v>
      </c>
      <c r="B652" s="2" t="n">
        <v>11</v>
      </c>
      <c r="C652" s="2" t="s">
        <v>32</v>
      </c>
      <c r="D652" s="2" t="s">
        <v>28</v>
      </c>
      <c r="E652" s="2" t="s">
        <v>15</v>
      </c>
      <c r="F652" s="2" t="s">
        <v>29</v>
      </c>
      <c r="G652" s="3" t="n">
        <v>4913</v>
      </c>
      <c r="H652" s="4" t="n">
        <v>68</v>
      </c>
      <c r="I652" s="4" t="n">
        <f aca="false">G652*H652</f>
        <v>334084</v>
      </c>
    </row>
    <row r="653" customFormat="false" ht="15" hidden="false" customHeight="false" outlineLevel="0" collapsed="false">
      <c r="A653" s="2" t="s">
        <v>46</v>
      </c>
      <c r="B653" s="2" t="n">
        <v>11</v>
      </c>
      <c r="C653" s="2" t="s">
        <v>32</v>
      </c>
      <c r="D653" s="2" t="s">
        <v>28</v>
      </c>
      <c r="E653" s="2" t="s">
        <v>16</v>
      </c>
      <c r="F653" s="2" t="s">
        <v>29</v>
      </c>
      <c r="G653" s="3" t="n">
        <v>6465</v>
      </c>
      <c r="H653" s="4" t="n">
        <v>53.04</v>
      </c>
      <c r="I653" s="4" t="n">
        <f aca="false">G653*H653</f>
        <v>342903.6</v>
      </c>
    </row>
    <row r="654" customFormat="false" ht="15" hidden="false" customHeight="false" outlineLevel="0" collapsed="false">
      <c r="A654" s="2" t="s">
        <v>46</v>
      </c>
      <c r="B654" s="2" t="n">
        <v>11</v>
      </c>
      <c r="C654" s="2" t="s">
        <v>33</v>
      </c>
      <c r="D654" s="2" t="s">
        <v>34</v>
      </c>
      <c r="E654" s="2" t="s">
        <v>12</v>
      </c>
      <c r="F654" s="2" t="s">
        <v>35</v>
      </c>
      <c r="G654" s="3" t="n">
        <v>11134</v>
      </c>
      <c r="H654" s="4" t="n">
        <v>31.5</v>
      </c>
      <c r="I654" s="4" t="n">
        <f aca="false">G654*H654</f>
        <v>350721</v>
      </c>
    </row>
    <row r="655" customFormat="false" ht="15" hidden="false" customHeight="false" outlineLevel="0" collapsed="false">
      <c r="A655" s="2" t="s">
        <v>46</v>
      </c>
      <c r="B655" s="2" t="n">
        <v>11</v>
      </c>
      <c r="C655" s="2" t="s">
        <v>33</v>
      </c>
      <c r="D655" s="2" t="s">
        <v>34</v>
      </c>
      <c r="E655" s="2" t="s">
        <v>14</v>
      </c>
      <c r="F655" s="2" t="s">
        <v>35</v>
      </c>
      <c r="G655" s="3" t="n">
        <v>5127</v>
      </c>
      <c r="H655" s="4" t="n">
        <v>36.75</v>
      </c>
      <c r="I655" s="4" t="n">
        <f aca="false">G655*H655</f>
        <v>188417.25</v>
      </c>
    </row>
    <row r="656" customFormat="false" ht="15" hidden="false" customHeight="false" outlineLevel="0" collapsed="false">
      <c r="A656" s="2" t="s">
        <v>46</v>
      </c>
      <c r="B656" s="2" t="n">
        <v>11</v>
      </c>
      <c r="C656" s="2" t="s">
        <v>33</v>
      </c>
      <c r="D656" s="2" t="s">
        <v>34</v>
      </c>
      <c r="E656" s="2" t="s">
        <v>15</v>
      </c>
      <c r="F656" s="2" t="s">
        <v>35</v>
      </c>
      <c r="G656" s="3" t="n">
        <v>5733</v>
      </c>
      <c r="H656" s="4" t="n">
        <v>35</v>
      </c>
      <c r="I656" s="4" t="n">
        <f aca="false">G656*H656</f>
        <v>200655</v>
      </c>
    </row>
    <row r="657" customFormat="false" ht="15" hidden="false" customHeight="false" outlineLevel="0" collapsed="false">
      <c r="A657" s="2" t="s">
        <v>46</v>
      </c>
      <c r="B657" s="2" t="n">
        <v>11</v>
      </c>
      <c r="C657" s="2" t="s">
        <v>33</v>
      </c>
      <c r="D657" s="2" t="s">
        <v>34</v>
      </c>
      <c r="E657" s="2" t="s">
        <v>16</v>
      </c>
      <c r="F657" s="2" t="s">
        <v>35</v>
      </c>
      <c r="G657" s="3" t="n">
        <v>8160</v>
      </c>
      <c r="H657" s="4" t="n">
        <v>27.3</v>
      </c>
      <c r="I657" s="4" t="n">
        <f aca="false">G657*H657</f>
        <v>222768</v>
      </c>
    </row>
    <row r="658" customFormat="false" ht="15" hidden="false" customHeight="false" outlineLevel="0" collapsed="false">
      <c r="A658" s="2" t="s">
        <v>46</v>
      </c>
      <c r="B658" s="2" t="n">
        <v>11</v>
      </c>
      <c r="C658" s="2" t="s">
        <v>36</v>
      </c>
      <c r="D658" s="2" t="s">
        <v>34</v>
      </c>
      <c r="E658" s="2" t="s">
        <v>12</v>
      </c>
      <c r="F658" s="2" t="s">
        <v>35</v>
      </c>
      <c r="G658" s="3" t="n">
        <v>7800</v>
      </c>
      <c r="H658" s="4" t="n">
        <v>39.6</v>
      </c>
      <c r="I658" s="4" t="n">
        <f aca="false">G658*H658</f>
        <v>308880</v>
      </c>
    </row>
    <row r="659" customFormat="false" ht="15" hidden="false" customHeight="false" outlineLevel="0" collapsed="false">
      <c r="A659" s="2" t="s">
        <v>46</v>
      </c>
      <c r="B659" s="2" t="n">
        <v>11</v>
      </c>
      <c r="C659" s="2" t="s">
        <v>36</v>
      </c>
      <c r="D659" s="2" t="s">
        <v>34</v>
      </c>
      <c r="E659" s="2" t="s">
        <v>14</v>
      </c>
      <c r="F659" s="2" t="s">
        <v>35</v>
      </c>
      <c r="G659" s="3" t="n">
        <v>3298</v>
      </c>
      <c r="H659" s="4" t="n">
        <v>46.2</v>
      </c>
      <c r="I659" s="4" t="n">
        <f aca="false">G659*H659</f>
        <v>152367.6</v>
      </c>
    </row>
    <row r="660" customFormat="false" ht="15" hidden="false" customHeight="false" outlineLevel="0" collapsed="false">
      <c r="A660" s="2" t="s">
        <v>46</v>
      </c>
      <c r="B660" s="2" t="n">
        <v>11</v>
      </c>
      <c r="C660" s="2" t="s">
        <v>36</v>
      </c>
      <c r="D660" s="2" t="s">
        <v>34</v>
      </c>
      <c r="E660" s="2" t="s">
        <v>15</v>
      </c>
      <c r="F660" s="2" t="s">
        <v>35</v>
      </c>
      <c r="G660" s="3" t="n">
        <v>4408</v>
      </c>
      <c r="H660" s="4" t="n">
        <v>44</v>
      </c>
      <c r="I660" s="4" t="n">
        <f aca="false">G660*H660</f>
        <v>193952</v>
      </c>
    </row>
    <row r="661" customFormat="false" ht="15" hidden="false" customHeight="false" outlineLevel="0" collapsed="false">
      <c r="A661" s="2" t="s">
        <v>46</v>
      </c>
      <c r="B661" s="2" t="n">
        <v>11</v>
      </c>
      <c r="C661" s="2" t="s">
        <v>36</v>
      </c>
      <c r="D661" s="2" t="s">
        <v>34</v>
      </c>
      <c r="E661" s="2" t="s">
        <v>16</v>
      </c>
      <c r="F661" s="2" t="s">
        <v>35</v>
      </c>
      <c r="G661" s="3" t="n">
        <v>5588</v>
      </c>
      <c r="H661" s="4" t="n">
        <v>34.32</v>
      </c>
      <c r="I661" s="4" t="n">
        <f aca="false">G661*H661</f>
        <v>191780.16</v>
      </c>
    </row>
    <row r="662" customFormat="false" ht="15" hidden="false" customHeight="false" outlineLevel="0" collapsed="false">
      <c r="A662" s="2" t="s">
        <v>47</v>
      </c>
      <c r="B662" s="2" t="n">
        <v>12</v>
      </c>
      <c r="C662" s="2" t="s">
        <v>10</v>
      </c>
      <c r="D662" s="2" t="s">
        <v>11</v>
      </c>
      <c r="E662" s="2" t="s">
        <v>12</v>
      </c>
      <c r="F662" s="2" t="s">
        <v>13</v>
      </c>
      <c r="G662" s="3" t="n">
        <v>4186</v>
      </c>
      <c r="H662" s="4" t="n">
        <v>37.8</v>
      </c>
      <c r="I662" s="4" t="n">
        <f aca="false">G662*H662</f>
        <v>158230.8</v>
      </c>
    </row>
    <row r="663" customFormat="false" ht="15" hidden="false" customHeight="false" outlineLevel="0" collapsed="false">
      <c r="A663" s="2" t="s">
        <v>47</v>
      </c>
      <c r="B663" s="2" t="n">
        <v>12</v>
      </c>
      <c r="C663" s="2" t="s">
        <v>10</v>
      </c>
      <c r="D663" s="2" t="s">
        <v>11</v>
      </c>
      <c r="E663" s="2" t="s">
        <v>14</v>
      </c>
      <c r="F663" s="2" t="s">
        <v>13</v>
      </c>
      <c r="G663" s="3" t="n">
        <v>9590</v>
      </c>
      <c r="H663" s="4" t="n">
        <v>44.1</v>
      </c>
      <c r="I663" s="4" t="n">
        <f aca="false">G663*H663</f>
        <v>422919</v>
      </c>
    </row>
    <row r="664" customFormat="false" ht="15" hidden="false" customHeight="false" outlineLevel="0" collapsed="false">
      <c r="A664" s="2" t="s">
        <v>47</v>
      </c>
      <c r="B664" s="2" t="n">
        <v>12</v>
      </c>
      <c r="C664" s="2" t="s">
        <v>10</v>
      </c>
      <c r="D664" s="2" t="s">
        <v>11</v>
      </c>
      <c r="E664" s="2" t="s">
        <v>15</v>
      </c>
      <c r="F664" s="2" t="s">
        <v>13</v>
      </c>
      <c r="G664" s="3" t="n">
        <v>11400</v>
      </c>
      <c r="H664" s="4" t="n">
        <v>42</v>
      </c>
      <c r="I664" s="4" t="n">
        <f aca="false">G664*H664</f>
        <v>478800</v>
      </c>
    </row>
    <row r="665" customFormat="false" ht="15" hidden="false" customHeight="false" outlineLevel="0" collapsed="false">
      <c r="A665" s="2" t="s">
        <v>47</v>
      </c>
      <c r="B665" s="2" t="n">
        <v>12</v>
      </c>
      <c r="C665" s="2" t="s">
        <v>10</v>
      </c>
      <c r="D665" s="2" t="s">
        <v>11</v>
      </c>
      <c r="E665" s="2" t="s">
        <v>16</v>
      </c>
      <c r="F665" s="2" t="s">
        <v>13</v>
      </c>
      <c r="G665" s="3" t="n">
        <v>16480</v>
      </c>
      <c r="H665" s="4" t="n">
        <v>32.76</v>
      </c>
      <c r="I665" s="4" t="n">
        <f aca="false">G665*H665</f>
        <v>539884.8</v>
      </c>
    </row>
    <row r="666" customFormat="false" ht="15" hidden="false" customHeight="false" outlineLevel="0" collapsed="false">
      <c r="A666" s="2" t="s">
        <v>47</v>
      </c>
      <c r="B666" s="2" t="n">
        <v>12</v>
      </c>
      <c r="C666" s="2" t="s">
        <v>17</v>
      </c>
      <c r="D666" s="2" t="s">
        <v>11</v>
      </c>
      <c r="E666" s="2" t="s">
        <v>12</v>
      </c>
      <c r="F666" s="2" t="s">
        <v>13</v>
      </c>
      <c r="G666" s="3" t="n">
        <v>15600</v>
      </c>
      <c r="H666" s="4" t="n">
        <v>34.2</v>
      </c>
      <c r="I666" s="4" t="n">
        <f aca="false">G666*H666</f>
        <v>533520</v>
      </c>
    </row>
    <row r="667" customFormat="false" ht="15" hidden="false" customHeight="false" outlineLevel="0" collapsed="false">
      <c r="A667" s="2" t="s">
        <v>47</v>
      </c>
      <c r="B667" s="2" t="n">
        <v>12</v>
      </c>
      <c r="C667" s="2" t="s">
        <v>17</v>
      </c>
      <c r="D667" s="2" t="s">
        <v>11</v>
      </c>
      <c r="E667" s="2" t="s">
        <v>14</v>
      </c>
      <c r="F667" s="2" t="s">
        <v>13</v>
      </c>
      <c r="G667" s="3" t="n">
        <v>6593</v>
      </c>
      <c r="H667" s="4" t="n">
        <v>39.9</v>
      </c>
      <c r="I667" s="4" t="n">
        <f aca="false">G667*H667</f>
        <v>263060.7</v>
      </c>
    </row>
    <row r="668" customFormat="false" ht="15" hidden="false" customHeight="false" outlineLevel="0" collapsed="false">
      <c r="A668" s="2" t="s">
        <v>47</v>
      </c>
      <c r="B668" s="2" t="n">
        <v>12</v>
      </c>
      <c r="C668" s="2" t="s">
        <v>17</v>
      </c>
      <c r="D668" s="2" t="s">
        <v>11</v>
      </c>
      <c r="E668" s="2" t="s">
        <v>15</v>
      </c>
      <c r="F668" s="2" t="s">
        <v>13</v>
      </c>
      <c r="G668" s="3" t="n">
        <v>7820</v>
      </c>
      <c r="H668" s="4" t="n">
        <v>38</v>
      </c>
      <c r="I668" s="4" t="n">
        <f aca="false">G668*H668</f>
        <v>297160</v>
      </c>
    </row>
    <row r="669" customFormat="false" ht="15" hidden="false" customHeight="false" outlineLevel="0" collapsed="false">
      <c r="A669" s="2" t="s">
        <v>47</v>
      </c>
      <c r="B669" s="2" t="n">
        <v>12</v>
      </c>
      <c r="C669" s="2" t="s">
        <v>17</v>
      </c>
      <c r="D669" s="2" t="s">
        <v>11</v>
      </c>
      <c r="E669" s="2" t="s">
        <v>16</v>
      </c>
      <c r="F669" s="2" t="s">
        <v>13</v>
      </c>
      <c r="G669" s="3" t="n">
        <v>10831</v>
      </c>
      <c r="H669" s="4" t="n">
        <v>29.64</v>
      </c>
      <c r="I669" s="4" t="n">
        <f aca="false">G669*H669</f>
        <v>321030.84</v>
      </c>
    </row>
    <row r="670" customFormat="false" ht="15" hidden="false" customHeight="false" outlineLevel="0" collapsed="false">
      <c r="A670" s="2" t="s">
        <v>47</v>
      </c>
      <c r="B670" s="2" t="n">
        <v>12</v>
      </c>
      <c r="C670" s="2" t="s">
        <v>18</v>
      </c>
      <c r="D670" s="2" t="s">
        <v>11</v>
      </c>
      <c r="E670" s="2" t="s">
        <v>12</v>
      </c>
      <c r="F670" s="2" t="s">
        <v>13</v>
      </c>
      <c r="G670" s="3" t="n">
        <v>8969</v>
      </c>
      <c r="H670" s="4" t="n">
        <v>49.5</v>
      </c>
      <c r="I670" s="4" t="n">
        <f aca="false">G670*H670</f>
        <v>443965.5</v>
      </c>
    </row>
    <row r="671" customFormat="false" ht="15" hidden="false" customHeight="false" outlineLevel="0" collapsed="false">
      <c r="A671" s="2" t="s">
        <v>47</v>
      </c>
      <c r="B671" s="2" t="n">
        <v>12</v>
      </c>
      <c r="C671" s="2" t="s">
        <v>18</v>
      </c>
      <c r="D671" s="2" t="s">
        <v>11</v>
      </c>
      <c r="E671" s="2" t="s">
        <v>14</v>
      </c>
      <c r="F671" s="2" t="s">
        <v>13</v>
      </c>
      <c r="G671" s="3" t="n">
        <v>3437</v>
      </c>
      <c r="H671" s="4" t="n">
        <v>57.75</v>
      </c>
      <c r="I671" s="4" t="n">
        <f aca="false">G671*H671</f>
        <v>198486.75</v>
      </c>
    </row>
    <row r="672" customFormat="false" ht="15" hidden="false" customHeight="false" outlineLevel="0" collapsed="false">
      <c r="A672" s="2" t="s">
        <v>47</v>
      </c>
      <c r="B672" s="2" t="n">
        <v>12</v>
      </c>
      <c r="C672" s="2" t="s">
        <v>18</v>
      </c>
      <c r="D672" s="2" t="s">
        <v>11</v>
      </c>
      <c r="E672" s="2" t="s">
        <v>15</v>
      </c>
      <c r="F672" s="2" t="s">
        <v>13</v>
      </c>
      <c r="G672" s="3" t="n">
        <v>4518</v>
      </c>
      <c r="H672" s="4" t="n">
        <v>55</v>
      </c>
      <c r="I672" s="4" t="n">
        <f aca="false">G672*H672</f>
        <v>248490</v>
      </c>
    </row>
    <row r="673" customFormat="false" ht="15" hidden="false" customHeight="false" outlineLevel="0" collapsed="false">
      <c r="A673" s="2" t="s">
        <v>47</v>
      </c>
      <c r="B673" s="2" t="n">
        <v>12</v>
      </c>
      <c r="C673" s="2" t="s">
        <v>18</v>
      </c>
      <c r="D673" s="2" t="s">
        <v>11</v>
      </c>
      <c r="E673" s="2" t="s">
        <v>16</v>
      </c>
      <c r="F673" s="2" t="s">
        <v>13</v>
      </c>
      <c r="G673" s="3" t="n">
        <v>6259</v>
      </c>
      <c r="H673" s="4" t="n">
        <v>42.9</v>
      </c>
      <c r="I673" s="4" t="n">
        <f aca="false">G673*H673</f>
        <v>268511.1</v>
      </c>
    </row>
    <row r="674" customFormat="false" ht="15" hidden="false" customHeight="false" outlineLevel="0" collapsed="false">
      <c r="A674" s="2" t="s">
        <v>47</v>
      </c>
      <c r="B674" s="2" t="n">
        <v>12</v>
      </c>
      <c r="C674" s="2" t="s">
        <v>19</v>
      </c>
      <c r="D674" s="2" t="s">
        <v>20</v>
      </c>
      <c r="E674" s="2" t="s">
        <v>12</v>
      </c>
      <c r="F674" s="2" t="s">
        <v>13</v>
      </c>
      <c r="G674" s="3" t="n">
        <v>18377</v>
      </c>
      <c r="H674" s="4" t="n">
        <v>23.4</v>
      </c>
      <c r="I674" s="4" t="n">
        <f aca="false">G674*H674</f>
        <v>430021.8</v>
      </c>
    </row>
    <row r="675" customFormat="false" ht="15" hidden="false" customHeight="false" outlineLevel="0" collapsed="false">
      <c r="A675" s="2" t="s">
        <v>47</v>
      </c>
      <c r="B675" s="2" t="n">
        <v>12</v>
      </c>
      <c r="C675" s="2" t="s">
        <v>19</v>
      </c>
      <c r="D675" s="2" t="s">
        <v>20</v>
      </c>
      <c r="E675" s="2" t="s">
        <v>14</v>
      </c>
      <c r="F675" s="2" t="s">
        <v>13</v>
      </c>
      <c r="G675" s="3" t="n">
        <v>7837</v>
      </c>
      <c r="H675" s="4" t="n">
        <v>27.3</v>
      </c>
      <c r="I675" s="4" t="n">
        <f aca="false">G675*H675</f>
        <v>213950.1</v>
      </c>
    </row>
    <row r="676" customFormat="false" ht="15" hidden="false" customHeight="false" outlineLevel="0" collapsed="false">
      <c r="A676" s="2" t="s">
        <v>47</v>
      </c>
      <c r="B676" s="2" t="n">
        <v>12</v>
      </c>
      <c r="C676" s="2" t="s">
        <v>19</v>
      </c>
      <c r="D676" s="2" t="s">
        <v>20</v>
      </c>
      <c r="E676" s="2" t="s">
        <v>15</v>
      </c>
      <c r="F676" s="2" t="s">
        <v>13</v>
      </c>
      <c r="G676" s="3" t="n">
        <v>9601</v>
      </c>
      <c r="H676" s="4" t="n">
        <v>26</v>
      </c>
      <c r="I676" s="4" t="n">
        <f aca="false">G676*H676</f>
        <v>249626</v>
      </c>
    </row>
    <row r="677" customFormat="false" ht="15" hidden="false" customHeight="false" outlineLevel="0" collapsed="false">
      <c r="A677" s="2" t="s">
        <v>47</v>
      </c>
      <c r="B677" s="2" t="n">
        <v>12</v>
      </c>
      <c r="C677" s="2" t="s">
        <v>19</v>
      </c>
      <c r="D677" s="2" t="s">
        <v>20</v>
      </c>
      <c r="E677" s="2" t="s">
        <v>16</v>
      </c>
      <c r="F677" s="2" t="s">
        <v>13</v>
      </c>
      <c r="G677" s="3" t="n">
        <v>12203</v>
      </c>
      <c r="H677" s="4" t="n">
        <v>20.28</v>
      </c>
      <c r="I677" s="4" t="n">
        <f aca="false">G677*H677</f>
        <v>247476.84</v>
      </c>
    </row>
    <row r="678" customFormat="false" ht="15" hidden="false" customHeight="false" outlineLevel="0" collapsed="false">
      <c r="A678" s="2" t="s">
        <v>47</v>
      </c>
      <c r="B678" s="2" t="n">
        <v>12</v>
      </c>
      <c r="C678" s="2" t="s">
        <v>21</v>
      </c>
      <c r="D678" s="2" t="s">
        <v>20</v>
      </c>
      <c r="E678" s="2" t="s">
        <v>12</v>
      </c>
      <c r="F678" s="2" t="s">
        <v>22</v>
      </c>
      <c r="G678" s="3" t="n">
        <v>20235</v>
      </c>
      <c r="H678" s="4" t="n">
        <v>12.6</v>
      </c>
      <c r="I678" s="4" t="n">
        <f aca="false">G678*H678</f>
        <v>254961</v>
      </c>
    </row>
    <row r="679" customFormat="false" ht="15" hidden="false" customHeight="false" outlineLevel="0" collapsed="false">
      <c r="A679" s="2" t="s">
        <v>47</v>
      </c>
      <c r="B679" s="2" t="n">
        <v>12</v>
      </c>
      <c r="C679" s="2" t="s">
        <v>21</v>
      </c>
      <c r="D679" s="2" t="s">
        <v>20</v>
      </c>
      <c r="E679" s="2" t="s">
        <v>14</v>
      </c>
      <c r="F679" s="2" t="s">
        <v>22</v>
      </c>
      <c r="G679" s="3" t="n">
        <v>9137</v>
      </c>
      <c r="H679" s="4" t="n">
        <v>14.7</v>
      </c>
      <c r="I679" s="4" t="n">
        <f aca="false">G679*H679</f>
        <v>134313.9</v>
      </c>
    </row>
    <row r="680" customFormat="false" ht="15" hidden="false" customHeight="false" outlineLevel="0" collapsed="false">
      <c r="A680" s="2" t="s">
        <v>47</v>
      </c>
      <c r="B680" s="2" t="n">
        <v>12</v>
      </c>
      <c r="C680" s="2" t="s">
        <v>21</v>
      </c>
      <c r="D680" s="2" t="s">
        <v>20</v>
      </c>
      <c r="E680" s="2" t="s">
        <v>15</v>
      </c>
      <c r="F680" s="2" t="s">
        <v>22</v>
      </c>
      <c r="G680" s="3" t="n">
        <v>11208</v>
      </c>
      <c r="H680" s="4" t="n">
        <v>14</v>
      </c>
      <c r="I680" s="4" t="n">
        <f aca="false">G680*H680</f>
        <v>156912</v>
      </c>
    </row>
    <row r="681" customFormat="false" ht="15" hidden="false" customHeight="false" outlineLevel="0" collapsed="false">
      <c r="A681" s="2" t="s">
        <v>47</v>
      </c>
      <c r="B681" s="2" t="n">
        <v>12</v>
      </c>
      <c r="C681" s="2" t="s">
        <v>21</v>
      </c>
      <c r="D681" s="2" t="s">
        <v>20</v>
      </c>
      <c r="E681" s="2" t="s">
        <v>16</v>
      </c>
      <c r="F681" s="2" t="s">
        <v>22</v>
      </c>
      <c r="G681" s="3" t="n">
        <v>14917</v>
      </c>
      <c r="H681" s="4" t="n">
        <v>10.92</v>
      </c>
      <c r="I681" s="4" t="n">
        <f aca="false">G681*H681</f>
        <v>162893.64</v>
      </c>
    </row>
    <row r="682" customFormat="false" ht="15" hidden="false" customHeight="false" outlineLevel="0" collapsed="false">
      <c r="A682" s="2" t="s">
        <v>47</v>
      </c>
      <c r="B682" s="2" t="n">
        <v>12</v>
      </c>
      <c r="C682" s="2" t="s">
        <v>23</v>
      </c>
      <c r="D682" s="2" t="s">
        <v>20</v>
      </c>
      <c r="E682" s="2" t="s">
        <v>12</v>
      </c>
      <c r="F682" s="2" t="s">
        <v>13</v>
      </c>
      <c r="G682" s="3" t="n">
        <v>7361</v>
      </c>
      <c r="H682" s="4" t="n">
        <v>27.9</v>
      </c>
      <c r="I682" s="4" t="n">
        <f aca="false">G682*H682</f>
        <v>205371.9</v>
      </c>
    </row>
    <row r="683" customFormat="false" ht="15" hidden="false" customHeight="false" outlineLevel="0" collapsed="false">
      <c r="A683" s="2" t="s">
        <v>47</v>
      </c>
      <c r="B683" s="2" t="n">
        <v>12</v>
      </c>
      <c r="C683" s="2" t="s">
        <v>23</v>
      </c>
      <c r="D683" s="2" t="s">
        <v>20</v>
      </c>
      <c r="E683" s="2" t="s">
        <v>14</v>
      </c>
      <c r="F683" s="2" t="s">
        <v>13</v>
      </c>
      <c r="G683" s="3" t="n">
        <v>2904</v>
      </c>
      <c r="H683" s="4" t="n">
        <v>32.55</v>
      </c>
      <c r="I683" s="4" t="n">
        <f aca="false">G683*H683</f>
        <v>94525.2</v>
      </c>
    </row>
    <row r="684" customFormat="false" ht="15" hidden="false" customHeight="false" outlineLevel="0" collapsed="false">
      <c r="A684" s="2" t="s">
        <v>47</v>
      </c>
      <c r="B684" s="2" t="n">
        <v>12</v>
      </c>
      <c r="C684" s="2" t="s">
        <v>23</v>
      </c>
      <c r="D684" s="2" t="s">
        <v>20</v>
      </c>
      <c r="E684" s="2" t="s">
        <v>15</v>
      </c>
      <c r="F684" s="2" t="s">
        <v>13</v>
      </c>
      <c r="G684" s="3" t="n">
        <v>3493</v>
      </c>
      <c r="H684" s="4" t="n">
        <v>31</v>
      </c>
      <c r="I684" s="4" t="n">
        <f aca="false">G684*H684</f>
        <v>108283</v>
      </c>
    </row>
    <row r="685" customFormat="false" ht="15" hidden="false" customHeight="false" outlineLevel="0" collapsed="false">
      <c r="A685" s="2" t="s">
        <v>47</v>
      </c>
      <c r="B685" s="2" t="n">
        <v>12</v>
      </c>
      <c r="C685" s="2" t="s">
        <v>23</v>
      </c>
      <c r="D685" s="2" t="s">
        <v>20</v>
      </c>
      <c r="E685" s="2" t="s">
        <v>16</v>
      </c>
      <c r="F685" s="2" t="s">
        <v>13</v>
      </c>
      <c r="G685" s="3" t="n">
        <v>4930</v>
      </c>
      <c r="H685" s="4" t="n">
        <v>24.18</v>
      </c>
      <c r="I685" s="4" t="n">
        <f aca="false">G685*H685</f>
        <v>119207.4</v>
      </c>
    </row>
    <row r="686" customFormat="false" ht="15" hidden="false" customHeight="false" outlineLevel="0" collapsed="false">
      <c r="A686" s="2" t="s">
        <v>47</v>
      </c>
      <c r="B686" s="2" t="n">
        <v>12</v>
      </c>
      <c r="C686" s="2" t="s">
        <v>24</v>
      </c>
      <c r="D686" s="2" t="s">
        <v>20</v>
      </c>
      <c r="E686" s="2" t="s">
        <v>12</v>
      </c>
      <c r="F686" s="2" t="s">
        <v>22</v>
      </c>
      <c r="G686" s="3" t="n">
        <v>24308</v>
      </c>
      <c r="H686" s="4" t="n">
        <v>10.8</v>
      </c>
      <c r="I686" s="4" t="n">
        <f aca="false">G686*H686</f>
        <v>262526.4</v>
      </c>
    </row>
    <row r="687" customFormat="false" ht="15" hidden="false" customHeight="false" outlineLevel="0" collapsed="false">
      <c r="A687" s="2" t="s">
        <v>47</v>
      </c>
      <c r="B687" s="2" t="n">
        <v>12</v>
      </c>
      <c r="C687" s="2" t="s">
        <v>24</v>
      </c>
      <c r="D687" s="2" t="s">
        <v>20</v>
      </c>
      <c r="E687" s="2" t="s">
        <v>14</v>
      </c>
      <c r="F687" s="2" t="s">
        <v>22</v>
      </c>
      <c r="G687" s="3" t="n">
        <v>11194</v>
      </c>
      <c r="H687" s="4" t="n">
        <v>12.6</v>
      </c>
      <c r="I687" s="4" t="n">
        <f aca="false">G687*H687</f>
        <v>141044.4</v>
      </c>
    </row>
    <row r="688" customFormat="false" ht="15" hidden="false" customHeight="false" outlineLevel="0" collapsed="false">
      <c r="A688" s="2" t="s">
        <v>47</v>
      </c>
      <c r="B688" s="2" t="n">
        <v>12</v>
      </c>
      <c r="C688" s="2" t="s">
        <v>24</v>
      </c>
      <c r="D688" s="2" t="s">
        <v>20</v>
      </c>
      <c r="E688" s="2" t="s">
        <v>15</v>
      </c>
      <c r="F688" s="2" t="s">
        <v>22</v>
      </c>
      <c r="G688" s="3" t="n">
        <v>13144</v>
      </c>
      <c r="H688" s="4" t="n">
        <v>12</v>
      </c>
      <c r="I688" s="4" t="n">
        <f aca="false">G688*H688</f>
        <v>157728</v>
      </c>
    </row>
    <row r="689" customFormat="false" ht="15" hidden="false" customHeight="false" outlineLevel="0" collapsed="false">
      <c r="A689" s="2" t="s">
        <v>47</v>
      </c>
      <c r="B689" s="2" t="n">
        <v>12</v>
      </c>
      <c r="C689" s="2" t="s">
        <v>24</v>
      </c>
      <c r="D689" s="2" t="s">
        <v>20</v>
      </c>
      <c r="E689" s="2" t="s">
        <v>16</v>
      </c>
      <c r="F689" s="2" t="s">
        <v>22</v>
      </c>
      <c r="G689" s="3" t="n">
        <v>18115</v>
      </c>
      <c r="H689" s="4" t="n">
        <v>9.36</v>
      </c>
      <c r="I689" s="4" t="n">
        <f aca="false">G689*H689</f>
        <v>169556.4</v>
      </c>
    </row>
    <row r="690" customFormat="false" ht="15" hidden="false" customHeight="false" outlineLevel="0" collapsed="false">
      <c r="A690" s="2" t="s">
        <v>47</v>
      </c>
      <c r="B690" s="2" t="n">
        <v>12</v>
      </c>
      <c r="C690" s="2" t="s">
        <v>25</v>
      </c>
      <c r="D690" s="2" t="s">
        <v>20</v>
      </c>
      <c r="E690" s="2" t="s">
        <v>12</v>
      </c>
      <c r="F690" s="2" t="s">
        <v>22</v>
      </c>
      <c r="G690" s="3" t="n">
        <v>33974</v>
      </c>
      <c r="H690" s="4" t="n">
        <v>8.1</v>
      </c>
      <c r="I690" s="4" t="n">
        <f aca="false">G690*H690</f>
        <v>275189.4</v>
      </c>
    </row>
    <row r="691" customFormat="false" ht="15" hidden="false" customHeight="false" outlineLevel="0" collapsed="false">
      <c r="A691" s="2" t="s">
        <v>47</v>
      </c>
      <c r="B691" s="2" t="n">
        <v>12</v>
      </c>
      <c r="C691" s="2" t="s">
        <v>25</v>
      </c>
      <c r="D691" s="2" t="s">
        <v>20</v>
      </c>
      <c r="E691" s="2" t="s">
        <v>14</v>
      </c>
      <c r="F691" s="2" t="s">
        <v>22</v>
      </c>
      <c r="G691" s="3" t="n">
        <v>13929</v>
      </c>
      <c r="H691" s="4" t="n">
        <v>9.45</v>
      </c>
      <c r="I691" s="4" t="n">
        <f aca="false">G691*H691</f>
        <v>131629.05</v>
      </c>
    </row>
    <row r="692" customFormat="false" ht="15" hidden="false" customHeight="false" outlineLevel="0" collapsed="false">
      <c r="A692" s="2" t="s">
        <v>47</v>
      </c>
      <c r="B692" s="2" t="n">
        <v>12</v>
      </c>
      <c r="C692" s="2" t="s">
        <v>25</v>
      </c>
      <c r="D692" s="2" t="s">
        <v>20</v>
      </c>
      <c r="E692" s="2" t="s">
        <v>15</v>
      </c>
      <c r="F692" s="2" t="s">
        <v>22</v>
      </c>
      <c r="G692" s="3" t="n">
        <v>16028</v>
      </c>
      <c r="H692" s="4" t="n">
        <v>9</v>
      </c>
      <c r="I692" s="4" t="n">
        <f aca="false">G692*H692</f>
        <v>144252</v>
      </c>
    </row>
    <row r="693" customFormat="false" ht="15" hidden="false" customHeight="false" outlineLevel="0" collapsed="false">
      <c r="A693" s="2" t="s">
        <v>47</v>
      </c>
      <c r="B693" s="2" t="n">
        <v>12</v>
      </c>
      <c r="C693" s="2" t="s">
        <v>25</v>
      </c>
      <c r="D693" s="2" t="s">
        <v>20</v>
      </c>
      <c r="E693" s="2" t="s">
        <v>16</v>
      </c>
      <c r="F693" s="2" t="s">
        <v>22</v>
      </c>
      <c r="G693" s="3" t="n">
        <v>21765</v>
      </c>
      <c r="H693" s="4" t="n">
        <v>7.02</v>
      </c>
      <c r="I693" s="4" t="n">
        <f aca="false">G693*H693</f>
        <v>152790.3</v>
      </c>
    </row>
    <row r="694" customFormat="false" ht="15" hidden="false" customHeight="false" outlineLevel="0" collapsed="false">
      <c r="A694" s="2" t="s">
        <v>47</v>
      </c>
      <c r="B694" s="2" t="n">
        <v>12</v>
      </c>
      <c r="C694" s="2" t="s">
        <v>26</v>
      </c>
      <c r="D694" s="2" t="s">
        <v>20</v>
      </c>
      <c r="E694" s="2" t="s">
        <v>12</v>
      </c>
      <c r="F694" s="2" t="s">
        <v>22</v>
      </c>
      <c r="G694" s="3" t="n">
        <v>18331</v>
      </c>
      <c r="H694" s="4" t="n">
        <v>14.4</v>
      </c>
      <c r="I694" s="4" t="n">
        <f aca="false">G694*H694</f>
        <v>263966.4</v>
      </c>
    </row>
    <row r="695" customFormat="false" ht="15" hidden="false" customHeight="false" outlineLevel="0" collapsed="false">
      <c r="A695" s="2" t="s">
        <v>47</v>
      </c>
      <c r="B695" s="2" t="n">
        <v>12</v>
      </c>
      <c r="C695" s="2" t="s">
        <v>26</v>
      </c>
      <c r="D695" s="2" t="s">
        <v>20</v>
      </c>
      <c r="E695" s="2" t="s">
        <v>14</v>
      </c>
      <c r="F695" s="2" t="s">
        <v>22</v>
      </c>
      <c r="G695" s="3" t="n">
        <v>8408</v>
      </c>
      <c r="H695" s="4" t="n">
        <v>16.8</v>
      </c>
      <c r="I695" s="4" t="n">
        <f aca="false">G695*H695</f>
        <v>141254.4</v>
      </c>
    </row>
    <row r="696" customFormat="false" ht="15" hidden="false" customHeight="false" outlineLevel="0" collapsed="false">
      <c r="A696" s="2" t="s">
        <v>47</v>
      </c>
      <c r="B696" s="2" t="n">
        <v>12</v>
      </c>
      <c r="C696" s="2" t="s">
        <v>26</v>
      </c>
      <c r="D696" s="2" t="s">
        <v>20</v>
      </c>
      <c r="E696" s="2" t="s">
        <v>15</v>
      </c>
      <c r="F696" s="2" t="s">
        <v>22</v>
      </c>
      <c r="G696" s="3" t="n">
        <v>10027</v>
      </c>
      <c r="H696" s="4" t="n">
        <v>16</v>
      </c>
      <c r="I696" s="4" t="n">
        <f aca="false">G696*H696</f>
        <v>160432</v>
      </c>
    </row>
    <row r="697" customFormat="false" ht="15" hidden="false" customHeight="false" outlineLevel="0" collapsed="false">
      <c r="A697" s="2" t="s">
        <v>47</v>
      </c>
      <c r="B697" s="2" t="n">
        <v>12</v>
      </c>
      <c r="C697" s="2" t="s">
        <v>26</v>
      </c>
      <c r="D697" s="2" t="s">
        <v>20</v>
      </c>
      <c r="E697" s="2" t="s">
        <v>16</v>
      </c>
      <c r="F697" s="2" t="s">
        <v>22</v>
      </c>
      <c r="G697" s="3" t="n">
        <v>12854</v>
      </c>
      <c r="H697" s="4" t="n">
        <v>12.48</v>
      </c>
      <c r="I697" s="4" t="n">
        <f aca="false">G697*H697</f>
        <v>160417.92</v>
      </c>
    </row>
    <row r="698" customFormat="false" ht="15" hidden="false" customHeight="false" outlineLevel="0" collapsed="false">
      <c r="A698" s="2" t="s">
        <v>47</v>
      </c>
      <c r="B698" s="2" t="n">
        <v>12</v>
      </c>
      <c r="C698" s="2" t="s">
        <v>27</v>
      </c>
      <c r="D698" s="2" t="s">
        <v>28</v>
      </c>
      <c r="E698" s="2" t="s">
        <v>12</v>
      </c>
      <c r="F698" s="2" t="s">
        <v>29</v>
      </c>
      <c r="G698" s="3" t="n">
        <v>13145</v>
      </c>
      <c r="H698" s="4" t="n">
        <v>43.2</v>
      </c>
      <c r="I698" s="4" t="n">
        <f aca="false">G698*H698</f>
        <v>567864</v>
      </c>
    </row>
    <row r="699" customFormat="false" ht="15" hidden="false" customHeight="false" outlineLevel="0" collapsed="false">
      <c r="A699" s="2" t="s">
        <v>47</v>
      </c>
      <c r="B699" s="2" t="n">
        <v>12</v>
      </c>
      <c r="C699" s="2" t="s">
        <v>27</v>
      </c>
      <c r="D699" s="2" t="s">
        <v>28</v>
      </c>
      <c r="E699" s="2" t="s">
        <v>14</v>
      </c>
      <c r="F699" s="2" t="s">
        <v>29</v>
      </c>
      <c r="G699" s="3" t="n">
        <v>5596</v>
      </c>
      <c r="H699" s="4" t="n">
        <v>50.4</v>
      </c>
      <c r="I699" s="4" t="n">
        <f aca="false">G699*H699</f>
        <v>282038.4</v>
      </c>
    </row>
    <row r="700" customFormat="false" ht="15" hidden="false" customHeight="false" outlineLevel="0" collapsed="false">
      <c r="A700" s="2" t="s">
        <v>47</v>
      </c>
      <c r="B700" s="2" t="n">
        <v>12</v>
      </c>
      <c r="C700" s="2" t="s">
        <v>27</v>
      </c>
      <c r="D700" s="2" t="s">
        <v>28</v>
      </c>
      <c r="E700" s="2" t="s">
        <v>15</v>
      </c>
      <c r="F700" s="2" t="s">
        <v>29</v>
      </c>
      <c r="G700" s="3" t="n">
        <v>6723</v>
      </c>
      <c r="H700" s="4" t="n">
        <v>48</v>
      </c>
      <c r="I700" s="4" t="n">
        <f aca="false">G700*H700</f>
        <v>322704</v>
      </c>
    </row>
    <row r="701" customFormat="false" ht="15" hidden="false" customHeight="false" outlineLevel="0" collapsed="false">
      <c r="A701" s="2" t="s">
        <v>47</v>
      </c>
      <c r="B701" s="2" t="n">
        <v>12</v>
      </c>
      <c r="C701" s="2" t="s">
        <v>27</v>
      </c>
      <c r="D701" s="2" t="s">
        <v>28</v>
      </c>
      <c r="E701" s="2" t="s">
        <v>16</v>
      </c>
      <c r="F701" s="2" t="s">
        <v>29</v>
      </c>
      <c r="G701" s="3" t="n">
        <v>8899</v>
      </c>
      <c r="H701" s="4" t="n">
        <v>37.44</v>
      </c>
      <c r="I701" s="4" t="n">
        <f aca="false">G701*H701</f>
        <v>333178.56</v>
      </c>
    </row>
    <row r="702" customFormat="false" ht="15" hidden="false" customHeight="false" outlineLevel="0" collapsed="false">
      <c r="A702" s="2" t="s">
        <v>47</v>
      </c>
      <c r="B702" s="2" t="n">
        <v>12</v>
      </c>
      <c r="C702" s="2" t="s">
        <v>30</v>
      </c>
      <c r="D702" s="2" t="s">
        <v>28</v>
      </c>
      <c r="E702" s="2" t="s">
        <v>12</v>
      </c>
      <c r="F702" s="2" t="s">
        <v>29</v>
      </c>
      <c r="G702" s="3" t="n">
        <v>4271</v>
      </c>
      <c r="H702" s="4" t="n">
        <v>108</v>
      </c>
      <c r="I702" s="4" t="n">
        <f aca="false">G702*H702</f>
        <v>461268</v>
      </c>
    </row>
    <row r="703" customFormat="false" ht="15" hidden="false" customHeight="false" outlineLevel="0" collapsed="false">
      <c r="A703" s="2" t="s">
        <v>47</v>
      </c>
      <c r="B703" s="2" t="n">
        <v>12</v>
      </c>
      <c r="C703" s="2" t="s">
        <v>30</v>
      </c>
      <c r="D703" s="2" t="s">
        <v>28</v>
      </c>
      <c r="E703" s="2" t="s">
        <v>14</v>
      </c>
      <c r="F703" s="2" t="s">
        <v>29</v>
      </c>
      <c r="G703" s="3" t="n">
        <v>1853</v>
      </c>
      <c r="H703" s="4" t="n">
        <v>126</v>
      </c>
      <c r="I703" s="4" t="n">
        <f aca="false">G703*H703</f>
        <v>233478</v>
      </c>
    </row>
    <row r="704" customFormat="false" ht="15" hidden="false" customHeight="false" outlineLevel="0" collapsed="false">
      <c r="A704" s="2" t="s">
        <v>47</v>
      </c>
      <c r="B704" s="2" t="n">
        <v>12</v>
      </c>
      <c r="C704" s="2" t="s">
        <v>30</v>
      </c>
      <c r="D704" s="2" t="s">
        <v>28</v>
      </c>
      <c r="E704" s="2" t="s">
        <v>15</v>
      </c>
      <c r="F704" s="2" t="s">
        <v>29</v>
      </c>
      <c r="G704" s="3" t="n">
        <v>2195</v>
      </c>
      <c r="H704" s="4" t="n">
        <v>120</v>
      </c>
      <c r="I704" s="4" t="n">
        <f aca="false">G704*H704</f>
        <v>263400</v>
      </c>
    </row>
    <row r="705" customFormat="false" ht="15" hidden="false" customHeight="false" outlineLevel="0" collapsed="false">
      <c r="A705" s="2" t="s">
        <v>47</v>
      </c>
      <c r="B705" s="2" t="n">
        <v>12</v>
      </c>
      <c r="C705" s="2" t="s">
        <v>30</v>
      </c>
      <c r="D705" s="2" t="s">
        <v>28</v>
      </c>
      <c r="E705" s="2" t="s">
        <v>16</v>
      </c>
      <c r="F705" s="2" t="s">
        <v>29</v>
      </c>
      <c r="G705" s="3" t="n">
        <v>3222</v>
      </c>
      <c r="H705" s="4" t="n">
        <v>93.6</v>
      </c>
      <c r="I705" s="4" t="n">
        <f aca="false">G705*H705</f>
        <v>301579.2</v>
      </c>
    </row>
    <row r="706" customFormat="false" ht="15" hidden="false" customHeight="false" outlineLevel="0" collapsed="false">
      <c r="A706" s="2" t="s">
        <v>47</v>
      </c>
      <c r="B706" s="2" t="n">
        <v>12</v>
      </c>
      <c r="C706" s="2" t="s">
        <v>31</v>
      </c>
      <c r="D706" s="2" t="s">
        <v>28</v>
      </c>
      <c r="E706" s="2" t="s">
        <v>12</v>
      </c>
      <c r="F706" s="2" t="s">
        <v>29</v>
      </c>
      <c r="G706" s="3" t="n">
        <v>5754</v>
      </c>
      <c r="H706" s="4" t="n">
        <v>85.5</v>
      </c>
      <c r="I706" s="4" t="n">
        <f aca="false">G706*H706</f>
        <v>491967</v>
      </c>
    </row>
    <row r="707" customFormat="false" ht="15" hidden="false" customHeight="false" outlineLevel="0" collapsed="false">
      <c r="A707" s="2" t="s">
        <v>47</v>
      </c>
      <c r="B707" s="2" t="n">
        <v>12</v>
      </c>
      <c r="C707" s="2" t="s">
        <v>31</v>
      </c>
      <c r="D707" s="2" t="s">
        <v>28</v>
      </c>
      <c r="E707" s="2" t="s">
        <v>14</v>
      </c>
      <c r="F707" s="2" t="s">
        <v>29</v>
      </c>
      <c r="G707" s="3" t="n">
        <v>2421</v>
      </c>
      <c r="H707" s="4" t="n">
        <v>99.75</v>
      </c>
      <c r="I707" s="4" t="n">
        <f aca="false">G707*H707</f>
        <v>241494.75</v>
      </c>
    </row>
    <row r="708" customFormat="false" ht="15" hidden="false" customHeight="false" outlineLevel="0" collapsed="false">
      <c r="A708" s="2" t="s">
        <v>47</v>
      </c>
      <c r="B708" s="2" t="n">
        <v>12</v>
      </c>
      <c r="C708" s="2" t="s">
        <v>31</v>
      </c>
      <c r="D708" s="2" t="s">
        <v>28</v>
      </c>
      <c r="E708" s="2" t="s">
        <v>15</v>
      </c>
      <c r="F708" s="2" t="s">
        <v>29</v>
      </c>
      <c r="G708" s="3" t="n">
        <v>2869</v>
      </c>
      <c r="H708" s="4" t="n">
        <v>95</v>
      </c>
      <c r="I708" s="4" t="n">
        <f aca="false">G708*H708</f>
        <v>272555</v>
      </c>
    </row>
    <row r="709" customFormat="false" ht="15" hidden="false" customHeight="false" outlineLevel="0" collapsed="false">
      <c r="A709" s="2" t="s">
        <v>47</v>
      </c>
      <c r="B709" s="2" t="n">
        <v>12</v>
      </c>
      <c r="C709" s="2" t="s">
        <v>31</v>
      </c>
      <c r="D709" s="2" t="s">
        <v>28</v>
      </c>
      <c r="E709" s="2" t="s">
        <v>16</v>
      </c>
      <c r="F709" s="2" t="s">
        <v>29</v>
      </c>
      <c r="G709" s="3" t="n">
        <v>4060</v>
      </c>
      <c r="H709" s="4" t="n">
        <v>74.1</v>
      </c>
      <c r="I709" s="4" t="n">
        <f aca="false">G709*H709</f>
        <v>300846</v>
      </c>
    </row>
    <row r="710" customFormat="false" ht="15" hidden="false" customHeight="false" outlineLevel="0" collapsed="false">
      <c r="A710" s="2" t="s">
        <v>47</v>
      </c>
      <c r="B710" s="2" t="n">
        <v>12</v>
      </c>
      <c r="C710" s="2" t="s">
        <v>32</v>
      </c>
      <c r="D710" s="2" t="s">
        <v>28</v>
      </c>
      <c r="E710" s="2" t="s">
        <v>12</v>
      </c>
      <c r="F710" s="2" t="s">
        <v>29</v>
      </c>
      <c r="G710" s="3" t="n">
        <v>8117</v>
      </c>
      <c r="H710" s="4" t="n">
        <v>61.2</v>
      </c>
      <c r="I710" s="4" t="n">
        <f aca="false">G710*H710</f>
        <v>496760.4</v>
      </c>
    </row>
    <row r="711" customFormat="false" ht="15" hidden="false" customHeight="false" outlineLevel="0" collapsed="false">
      <c r="A711" s="2" t="s">
        <v>47</v>
      </c>
      <c r="B711" s="2" t="n">
        <v>12</v>
      </c>
      <c r="C711" s="2" t="s">
        <v>32</v>
      </c>
      <c r="D711" s="2" t="s">
        <v>28</v>
      </c>
      <c r="E711" s="2" t="s">
        <v>14</v>
      </c>
      <c r="F711" s="2" t="s">
        <v>29</v>
      </c>
      <c r="G711" s="3" t="n">
        <v>3152</v>
      </c>
      <c r="H711" s="4" t="n">
        <v>71.4</v>
      </c>
      <c r="I711" s="4" t="n">
        <f aca="false">G711*H711</f>
        <v>225052.8</v>
      </c>
    </row>
    <row r="712" customFormat="false" ht="15" hidden="false" customHeight="false" outlineLevel="0" collapsed="false">
      <c r="A712" s="2" t="s">
        <v>47</v>
      </c>
      <c r="B712" s="2" t="n">
        <v>12</v>
      </c>
      <c r="C712" s="2" t="s">
        <v>32</v>
      </c>
      <c r="D712" s="2" t="s">
        <v>28</v>
      </c>
      <c r="E712" s="2" t="s">
        <v>15</v>
      </c>
      <c r="F712" s="2" t="s">
        <v>29</v>
      </c>
      <c r="G712" s="3" t="n">
        <v>3971</v>
      </c>
      <c r="H712" s="4" t="n">
        <v>68</v>
      </c>
      <c r="I712" s="4" t="n">
        <f aca="false">G712*H712</f>
        <v>270028</v>
      </c>
    </row>
    <row r="713" customFormat="false" ht="15" hidden="false" customHeight="false" outlineLevel="0" collapsed="false">
      <c r="A713" s="2" t="s">
        <v>47</v>
      </c>
      <c r="B713" s="2" t="n">
        <v>12</v>
      </c>
      <c r="C713" s="2" t="s">
        <v>32</v>
      </c>
      <c r="D713" s="2" t="s">
        <v>28</v>
      </c>
      <c r="E713" s="2" t="s">
        <v>16</v>
      </c>
      <c r="F713" s="2" t="s">
        <v>29</v>
      </c>
      <c r="G713" s="3" t="n">
        <v>5529</v>
      </c>
      <c r="H713" s="4" t="n">
        <v>53.04</v>
      </c>
      <c r="I713" s="4" t="n">
        <f aca="false">G713*H713</f>
        <v>293258.16</v>
      </c>
    </row>
    <row r="714" customFormat="false" ht="15" hidden="false" customHeight="false" outlineLevel="0" collapsed="false">
      <c r="A714" s="2" t="s">
        <v>47</v>
      </c>
      <c r="B714" s="2" t="n">
        <v>12</v>
      </c>
      <c r="C714" s="2" t="s">
        <v>33</v>
      </c>
      <c r="D714" s="2" t="s">
        <v>34</v>
      </c>
      <c r="E714" s="2" t="s">
        <v>12</v>
      </c>
      <c r="F714" s="2" t="s">
        <v>35</v>
      </c>
      <c r="G714" s="3" t="n">
        <v>10087</v>
      </c>
      <c r="H714" s="4" t="n">
        <v>31.5</v>
      </c>
      <c r="I714" s="4" t="n">
        <f aca="false">G714*H714</f>
        <v>317740.5</v>
      </c>
    </row>
    <row r="715" customFormat="false" ht="15" hidden="false" customHeight="false" outlineLevel="0" collapsed="false">
      <c r="A715" s="2" t="s">
        <v>47</v>
      </c>
      <c r="B715" s="2" t="n">
        <v>12</v>
      </c>
      <c r="C715" s="2" t="s">
        <v>33</v>
      </c>
      <c r="D715" s="2" t="s">
        <v>34</v>
      </c>
      <c r="E715" s="2" t="s">
        <v>14</v>
      </c>
      <c r="F715" s="2" t="s">
        <v>35</v>
      </c>
      <c r="G715" s="3" t="n">
        <v>4326</v>
      </c>
      <c r="H715" s="4" t="n">
        <v>36.75</v>
      </c>
      <c r="I715" s="4" t="n">
        <f aca="false">G715*H715</f>
        <v>158980.5</v>
      </c>
    </row>
    <row r="716" customFormat="false" ht="15" hidden="false" customHeight="false" outlineLevel="0" collapsed="false">
      <c r="A716" s="2" t="s">
        <v>47</v>
      </c>
      <c r="B716" s="2" t="n">
        <v>12</v>
      </c>
      <c r="C716" s="2" t="s">
        <v>33</v>
      </c>
      <c r="D716" s="2" t="s">
        <v>34</v>
      </c>
      <c r="E716" s="2" t="s">
        <v>15</v>
      </c>
      <c r="F716" s="2" t="s">
        <v>35</v>
      </c>
      <c r="G716" s="3" t="n">
        <v>5323</v>
      </c>
      <c r="H716" s="4" t="n">
        <v>35</v>
      </c>
      <c r="I716" s="4" t="n">
        <f aca="false">G716*H716</f>
        <v>186305</v>
      </c>
    </row>
    <row r="717" customFormat="false" ht="15" hidden="false" customHeight="false" outlineLevel="0" collapsed="false">
      <c r="A717" s="2" t="s">
        <v>47</v>
      </c>
      <c r="B717" s="2" t="n">
        <v>12</v>
      </c>
      <c r="C717" s="2" t="s">
        <v>33</v>
      </c>
      <c r="D717" s="2" t="s">
        <v>34</v>
      </c>
      <c r="E717" s="2" t="s">
        <v>16</v>
      </c>
      <c r="F717" s="2" t="s">
        <v>35</v>
      </c>
      <c r="G717" s="3" t="n">
        <v>6598</v>
      </c>
      <c r="H717" s="4" t="n">
        <v>27.3</v>
      </c>
      <c r="I717" s="4" t="n">
        <f aca="false">G717*H717</f>
        <v>180125.4</v>
      </c>
    </row>
    <row r="718" customFormat="false" ht="15" hidden="false" customHeight="false" outlineLevel="0" collapsed="false">
      <c r="A718" s="2" t="s">
        <v>47</v>
      </c>
      <c r="B718" s="2" t="n">
        <v>12</v>
      </c>
      <c r="C718" s="2" t="s">
        <v>36</v>
      </c>
      <c r="D718" s="2" t="s">
        <v>34</v>
      </c>
      <c r="E718" s="2" t="s">
        <v>12</v>
      </c>
      <c r="F718" s="2" t="s">
        <v>35</v>
      </c>
      <c r="G718" s="3" t="n">
        <v>6604</v>
      </c>
      <c r="H718" s="4" t="n">
        <v>39.6</v>
      </c>
      <c r="I718" s="4" t="n">
        <f aca="false">G718*H718</f>
        <v>261518.4</v>
      </c>
    </row>
    <row r="719" customFormat="false" ht="15" hidden="false" customHeight="false" outlineLevel="0" collapsed="false">
      <c r="A719" s="2" t="s">
        <v>47</v>
      </c>
      <c r="B719" s="2" t="n">
        <v>12</v>
      </c>
      <c r="C719" s="2" t="s">
        <v>36</v>
      </c>
      <c r="D719" s="2" t="s">
        <v>34</v>
      </c>
      <c r="E719" s="2" t="s">
        <v>14</v>
      </c>
      <c r="F719" s="2" t="s">
        <v>35</v>
      </c>
      <c r="G719" s="3" t="n">
        <v>2980</v>
      </c>
      <c r="H719" s="4" t="n">
        <v>46.2</v>
      </c>
      <c r="I719" s="4" t="n">
        <f aca="false">G719*H719</f>
        <v>137676</v>
      </c>
    </row>
    <row r="720" customFormat="false" ht="15" hidden="false" customHeight="false" outlineLevel="0" collapsed="false">
      <c r="A720" s="2" t="s">
        <v>47</v>
      </c>
      <c r="B720" s="2" t="n">
        <v>12</v>
      </c>
      <c r="C720" s="2" t="s">
        <v>36</v>
      </c>
      <c r="D720" s="2" t="s">
        <v>34</v>
      </c>
      <c r="E720" s="2" t="s">
        <v>15</v>
      </c>
      <c r="F720" s="2" t="s">
        <v>35</v>
      </c>
      <c r="G720" s="3" t="n">
        <v>3436</v>
      </c>
      <c r="H720" s="4" t="n">
        <v>44</v>
      </c>
      <c r="I720" s="4" t="n">
        <f aca="false">G720*H720</f>
        <v>151184</v>
      </c>
    </row>
    <row r="721" customFormat="false" ht="15" hidden="false" customHeight="false" outlineLevel="0" collapsed="false">
      <c r="A721" s="2" t="s">
        <v>47</v>
      </c>
      <c r="B721" s="2" t="n">
        <v>12</v>
      </c>
      <c r="C721" s="2" t="s">
        <v>36</v>
      </c>
      <c r="D721" s="2" t="s">
        <v>34</v>
      </c>
      <c r="E721" s="2" t="s">
        <v>16</v>
      </c>
      <c r="F721" s="2" t="s">
        <v>35</v>
      </c>
      <c r="G721" s="3" t="n">
        <v>4579</v>
      </c>
      <c r="H721" s="4" t="n">
        <v>34.32</v>
      </c>
      <c r="I721" s="4" t="n">
        <f aca="false">G721*H721</f>
        <v>157151.28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customFormat="false" ht="15" hidden="false" customHeight="false" outlineLevel="0" collapsed="false">
      <c r="A2" s="2" t="s">
        <v>9</v>
      </c>
      <c r="B2" s="2" t="n">
        <v>1</v>
      </c>
      <c r="C2" s="2" t="s">
        <v>54</v>
      </c>
      <c r="D2" s="3" t="n">
        <f aca="false">SUMIFS(ยอดขายรายเดือน!$I$2:$I$721,ยอดขายรายเดือน!$B$2:$B$721,$B2)</f>
        <v>15471319.36</v>
      </c>
      <c r="E2" s="3" t="n">
        <f aca="false">SUMIFS(ยอดขายรายเดือน!$I$2:$I$721,ยอดขายรายเดือน!$B$2:$B$721,$B2,ยอดขายรายเดือน!$E$2:$E$721,"โรงพยาบาลรัฐ")</f>
        <v>6277363.2</v>
      </c>
      <c r="F2" s="3" t="n">
        <f aca="false">SUMIFS(ยอดขายรายเดือน!$I$2:$I$721,ยอดขายรายเดือน!$B$2:$B$721,$B2,ยอดขายรายเดือน!$E$2:$E$721,"โรงพยาบาลเอกชน")</f>
        <v>3143994</v>
      </c>
      <c r="G2" s="3" t="n">
        <f aca="false">SUMIFS(ยอดขายรายเดือน!$I$2:$I$721,ยอดขายรายเดือน!$B$2:$B$721,$B2,ยอดขายรายเดือน!$E$2:$E$721,"ร้านขายยา")</f>
        <v>3724102</v>
      </c>
      <c r="H2" s="3" t="n">
        <f aca="false">SUMIFS(ยอดขายรายเดือน!$I$2:$I$721,ยอดขายรายเดือน!$B$2:$B$721,$B2,ยอดขายรายเดือน!$E$2:$E$721,"ส่งออก")</f>
        <v>2325860.16</v>
      </c>
    </row>
    <row r="3" customFormat="false" ht="15" hidden="false" customHeight="false" outlineLevel="0" collapsed="false">
      <c r="A3" s="2" t="s">
        <v>37</v>
      </c>
      <c r="B3" s="2" t="n">
        <v>2</v>
      </c>
      <c r="C3" s="2" t="s">
        <v>54</v>
      </c>
      <c r="D3" s="3" t="n">
        <f aca="false">SUMIFS(ยอดขายรายเดือน!$I$2:$I$721,ยอดขายรายเดือน!$B$2:$B$721,$B3)</f>
        <v>15906347.36</v>
      </c>
      <c r="E3" s="3" t="n">
        <f aca="false">SUMIFS(ยอดขายรายเดือน!$I$2:$I$721,ยอดขายรายเดือน!$B$2:$B$721,$B3,ยอดขายรายเดือน!$E$2:$E$721,"โรงพยาบาลรัฐ")</f>
        <v>6426662.4</v>
      </c>
      <c r="F3" s="3" t="n">
        <f aca="false">SUMIFS(ยอดขายรายเดือน!$I$2:$I$721,ยอดขายรายเดือน!$B$2:$B$721,$B3,ยอดขายรายเดือน!$E$2:$E$721,"โรงพยาบาลเอกชน")</f>
        <v>3258431.4</v>
      </c>
      <c r="G3" s="3" t="n">
        <f aca="false">SUMIFS(ยอดขายรายเดือน!$I$2:$I$721,ยอดขายรายเดือน!$B$2:$B$721,$B3,ยอดขายรายเดือน!$E$2:$E$721,"ร้านขายยา")</f>
        <v>3813665</v>
      </c>
      <c r="H3" s="3" t="n">
        <f aca="false">SUMIFS(ยอดขายรายเดือน!$I$2:$I$721,ยอดขายรายเดือน!$B$2:$B$721,$B3,ยอดขายรายเดือน!$E$2:$E$721,"ส่งออก")</f>
        <v>2407588.56</v>
      </c>
    </row>
    <row r="4" customFormat="false" ht="15" hidden="false" customHeight="false" outlineLevel="0" collapsed="false">
      <c r="A4" s="2" t="s">
        <v>38</v>
      </c>
      <c r="B4" s="2" t="n">
        <v>3</v>
      </c>
      <c r="C4" s="2" t="s">
        <v>54</v>
      </c>
      <c r="D4" s="3" t="n">
        <f aca="false">SUMIFS(ยอดขายรายเดือน!$I$2:$I$721,ยอดขายรายเดือน!$B$2:$B$721,$B4)</f>
        <v>17596902.79</v>
      </c>
      <c r="E4" s="3" t="n">
        <f aca="false">SUMIFS(ยอดขายรายเดือน!$I$2:$I$721,ยอดขายรายเดือน!$B$2:$B$721,$B4,ยอดขายรายเดือน!$E$2:$E$721,"โรงพยาบาลรัฐ")</f>
        <v>7249971.6</v>
      </c>
      <c r="F4" s="3" t="n">
        <f aca="false">SUMIFS(ยอดขายรายเดือน!$I$2:$I$721,ยอดขายรายเดือน!$B$2:$B$721,$B4,ยอดขายรายเดือน!$E$2:$E$721,"โรงพยาบาลเอกชน")</f>
        <v>3564900.15</v>
      </c>
      <c r="G4" s="3" t="n">
        <f aca="false">SUMIFS(ยอดขายรายเดือน!$I$2:$I$721,ยอดขายรายเดือน!$B$2:$B$721,$B4,ยอดขายรายเดือน!$E$2:$E$721,"ร้านขายยา")</f>
        <v>4169992</v>
      </c>
      <c r="H4" s="3" t="n">
        <f aca="false">SUMIFS(ยอดขายรายเดือน!$I$2:$I$721,ยอดขายรายเดือน!$B$2:$B$721,$B4,ยอดขายรายเดือน!$E$2:$E$721,"ส่งออก")</f>
        <v>2612039.04</v>
      </c>
    </row>
    <row r="5" customFormat="false" ht="15" hidden="false" customHeight="false" outlineLevel="0" collapsed="false">
      <c r="A5" s="2" t="s">
        <v>39</v>
      </c>
      <c r="B5" s="2" t="n">
        <v>4</v>
      </c>
      <c r="C5" s="2" t="s">
        <v>55</v>
      </c>
      <c r="D5" s="3" t="n">
        <f aca="false">SUMIFS(ยอดขายรายเดือน!$I$2:$I$721,ยอดขายรายเดือน!$B$2:$B$721,$B5)</f>
        <v>16563211.51</v>
      </c>
      <c r="E5" s="3" t="n">
        <f aca="false">SUMIFS(ยอดขายรายเดือน!$I$2:$I$721,ยอดขายรายเดือน!$B$2:$B$721,$B5,ยอดขายรายเดือน!$E$2:$E$721,"โรงพยาบาลรัฐ")</f>
        <v>6720481.8</v>
      </c>
      <c r="F5" s="3" t="n">
        <f aca="false">SUMIFS(ยอดขายรายเดือน!$I$2:$I$721,ยอดขายรายเดือน!$B$2:$B$721,$B5,ยอดขายรายเดือน!$E$2:$E$721,"โรงพยาบาลเอกชน")</f>
        <v>3287641.35</v>
      </c>
      <c r="G5" s="3" t="n">
        <f aca="false">SUMIFS(ยอดขายรายเดือน!$I$2:$I$721,ยอดขายรายเดือน!$B$2:$B$721,$B5,ยอดขายรายเดือน!$E$2:$E$721,"ร้านขายยา")</f>
        <v>3869266</v>
      </c>
      <c r="H5" s="3" t="n">
        <f aca="false">SUMIFS(ยอดขายรายเดือน!$I$2:$I$721,ยอดขายรายเดือน!$B$2:$B$721,$B5,ยอดขายรายเดือน!$E$2:$E$721,"ส่งออก")</f>
        <v>2685822.36</v>
      </c>
    </row>
    <row r="6" customFormat="false" ht="15" hidden="false" customHeight="false" outlineLevel="0" collapsed="false">
      <c r="A6" s="2" t="s">
        <v>40</v>
      </c>
      <c r="B6" s="2" t="n">
        <v>5</v>
      </c>
      <c r="C6" s="2" t="s">
        <v>55</v>
      </c>
      <c r="D6" s="3" t="n">
        <f aca="false">SUMIFS(ยอดขายรายเดือน!$I$2:$I$721,ยอดขายรายเดือน!$B$2:$B$721,$B6)</f>
        <v>17454264.97</v>
      </c>
      <c r="E6" s="3" t="n">
        <f aca="false">SUMIFS(ยอดขายรายเดือน!$I$2:$I$721,ยอดขายรายเดือน!$B$2:$B$721,$B6,ยอดขายรายเดือน!$E$2:$E$721,"โรงพยาบาลรัฐ")</f>
        <v>6984235.8</v>
      </c>
      <c r="F6" s="3" t="n">
        <f aca="false">SUMIFS(ยอดขายรายเดือน!$I$2:$I$721,ยอดขายรายเดือน!$B$2:$B$721,$B6,ยอดขายรายเดือน!$E$2:$E$721,"โรงพยาบาลเอกชน")</f>
        <v>3464074.95</v>
      </c>
      <c r="G6" s="3" t="n">
        <f aca="false">SUMIFS(ยอดขายรายเดือน!$I$2:$I$721,ยอดขายรายเดือน!$B$2:$B$721,$B6,ยอดขายรายเดือน!$E$2:$E$721,"ร้านขายยา")</f>
        <v>4064107</v>
      </c>
      <c r="H6" s="3" t="n">
        <f aca="false">SUMIFS(ยอดขายรายเดือน!$I$2:$I$721,ยอดขายรายเดือน!$B$2:$B$721,$B6,ยอดขายรายเดือน!$E$2:$E$721,"ส่งออก")</f>
        <v>2941847.22</v>
      </c>
    </row>
    <row r="7" customFormat="false" ht="15" hidden="false" customHeight="false" outlineLevel="0" collapsed="false">
      <c r="A7" s="2" t="s">
        <v>41</v>
      </c>
      <c r="B7" s="2" t="n">
        <v>6</v>
      </c>
      <c r="C7" s="2" t="s">
        <v>55</v>
      </c>
      <c r="D7" s="3" t="n">
        <f aca="false">SUMIFS(ยอดขายรายเดือน!$I$2:$I$721,ยอดขายรายเดือน!$B$2:$B$721,$B7)</f>
        <v>18336727.07</v>
      </c>
      <c r="E7" s="3" t="n">
        <f aca="false">SUMIFS(ยอดขายรายเดือน!$I$2:$I$721,ยอดขายรายเดือน!$B$2:$B$721,$B7,ยอดขายรายเดือน!$E$2:$E$721,"โรงพยาบาลรัฐ")</f>
        <v>7215279.3</v>
      </c>
      <c r="F7" s="3" t="n">
        <f aca="false">SUMIFS(ยอดขายรายเดือน!$I$2:$I$721,ยอดขายรายเดือน!$B$2:$B$721,$B7,ยอดขายรายเดือน!$E$2:$E$721,"โรงพยาบาลเอกชน")</f>
        <v>3602788.35</v>
      </c>
      <c r="G7" s="3" t="n">
        <f aca="false">SUMIFS(ยอดขายรายเดือน!$I$2:$I$721,ยอดขายรายเดือน!$B$2:$B$721,$B7,ยอดขายรายเดือน!$E$2:$E$721,"ร้านขายยา")</f>
        <v>4246685</v>
      </c>
      <c r="H7" s="3" t="n">
        <f aca="false">SUMIFS(ยอดขายรายเดือน!$I$2:$I$721,ยอดขายรายเดือน!$B$2:$B$721,$B7,ยอดขายรายเดือน!$E$2:$E$721,"ส่งออก")</f>
        <v>3271974.42</v>
      </c>
    </row>
    <row r="8" customFormat="false" ht="15" hidden="false" customHeight="false" outlineLevel="0" collapsed="false">
      <c r="A8" s="2" t="s">
        <v>42</v>
      </c>
      <c r="B8" s="2" t="n">
        <v>7</v>
      </c>
      <c r="C8" s="2" t="s">
        <v>56</v>
      </c>
      <c r="D8" s="3" t="n">
        <f aca="false">SUMIFS(ยอดขายรายเดือน!$I$2:$I$721,ยอดขายรายเดือน!$B$2:$B$721,$B8)</f>
        <v>16693284.07</v>
      </c>
      <c r="E8" s="3" t="n">
        <f aca="false">SUMIFS(ยอดขายรายเดือน!$I$2:$I$721,ยอดขายรายเดือน!$B$2:$B$721,$B8,ยอดขายรายเดือน!$E$2:$E$721,"โรงพยาบาลรัฐ")</f>
        <v>6097083.3</v>
      </c>
      <c r="F8" s="3" t="n">
        <f aca="false">SUMIFS(ยอดขายรายเดือน!$I$2:$I$721,ยอดขายรายเดือน!$B$2:$B$721,$B8,ยอดขายรายเดือน!$E$2:$E$721,"โรงพยาบาลเอกชน")</f>
        <v>3427104.45</v>
      </c>
      <c r="G8" s="3" t="n">
        <f aca="false">SUMIFS(ยอดขายรายเดือน!$I$2:$I$721,ยอดขายรายเดือน!$B$2:$B$721,$B8,ยอดขายรายเดือน!$E$2:$E$721,"ร้านขายยา")</f>
        <v>3937990</v>
      </c>
      <c r="H8" s="3" t="n">
        <f aca="false">SUMIFS(ยอดขายรายเดือน!$I$2:$I$721,ยอดขายรายเดือน!$B$2:$B$721,$B8,ยอดขายรายเดือน!$E$2:$E$721,"ส่งออก")</f>
        <v>3231106.32</v>
      </c>
    </row>
    <row r="9" customFormat="false" ht="15" hidden="false" customHeight="false" outlineLevel="0" collapsed="false">
      <c r="A9" s="2" t="s">
        <v>43</v>
      </c>
      <c r="B9" s="2" t="n">
        <v>8</v>
      </c>
      <c r="C9" s="2" t="s">
        <v>56</v>
      </c>
      <c r="D9" s="3" t="n">
        <f aca="false">SUMIFS(ยอดขายรายเดือน!$I$2:$I$721,ยอดขายรายเดือน!$B$2:$B$721,$B9)</f>
        <v>15897988.09</v>
      </c>
      <c r="E9" s="3" t="n">
        <f aca="false">SUMIFS(ยอดขายรายเดือน!$I$2:$I$721,ยอดขายรายเดือน!$B$2:$B$721,$B9,ยอดขายรายเดือน!$E$2:$E$721,"โรงพยาบาลรัฐ")</f>
        <v>5646214.8</v>
      </c>
      <c r="F9" s="3" t="n">
        <f aca="false">SUMIFS(ยอดขายรายเดือน!$I$2:$I$721,ยอดขายรายเดือน!$B$2:$B$721,$B9,ยอดขายรายเดือน!$E$2:$E$721,"โรงพยาบาลเอกชน")</f>
        <v>3246955.95</v>
      </c>
      <c r="G9" s="3" t="n">
        <f aca="false">SUMIFS(ยอดขายรายเดือน!$I$2:$I$721,ยอดขายรายเดือน!$B$2:$B$721,$B9,ยอดขายรายเดือน!$E$2:$E$721,"ร้านขายยา")</f>
        <v>3748627</v>
      </c>
      <c r="H9" s="3" t="n">
        <f aca="false">SUMIFS(ยอดขายรายเดือน!$I$2:$I$721,ยอดขายรายเดือน!$B$2:$B$721,$B9,ยอดขายรายเดือน!$E$2:$E$721,"ส่งออก")</f>
        <v>3256190.34</v>
      </c>
    </row>
    <row r="10" customFormat="false" ht="15" hidden="false" customHeight="false" outlineLevel="0" collapsed="false">
      <c r="A10" s="2" t="s">
        <v>44</v>
      </c>
      <c r="B10" s="2" t="n">
        <v>9</v>
      </c>
      <c r="C10" s="2" t="s">
        <v>56</v>
      </c>
      <c r="D10" s="3" t="n">
        <f aca="false">SUMIFS(ยอดขายรายเดือน!$I$2:$I$721,ยอดขายรายเดือน!$B$2:$B$721,$B10)</f>
        <v>16606670.78</v>
      </c>
      <c r="E10" s="3" t="n">
        <f aca="false">SUMIFS(ยอดขายรายเดือน!$I$2:$I$721,ยอดขายรายเดือน!$B$2:$B$721,$B10,ยอดขายรายเดือน!$E$2:$E$721,"โรงพยาบาลรัฐ")</f>
        <v>5760586.8</v>
      </c>
      <c r="F10" s="3" t="n">
        <f aca="false">SUMIFS(ยอดขายรายเดือน!$I$2:$I$721,ยอดขายรายเดือน!$B$2:$B$721,$B10,ยอดขายรายเดือน!$E$2:$E$721,"โรงพยาบาลเอกชน")</f>
        <v>3344527.2</v>
      </c>
      <c r="G10" s="3" t="n">
        <f aca="false">SUMIFS(ยอดขายรายเดือน!$I$2:$I$721,ยอดขายรายเดือน!$B$2:$B$721,$B10,ยอดขายรายเดือน!$E$2:$E$721,"ร้านขายยา")</f>
        <v>3874049</v>
      </c>
      <c r="H10" s="3" t="n">
        <f aca="false">SUMIFS(ยอดขายรายเดือน!$I$2:$I$721,ยอดขายรายเดือน!$B$2:$B$721,$B10,ยอดขายรายเดือน!$E$2:$E$721,"ส่งออก")</f>
        <v>3627507.78</v>
      </c>
    </row>
    <row r="11" customFormat="false" ht="15" hidden="false" customHeight="false" outlineLevel="0" collapsed="false">
      <c r="A11" s="2" t="s">
        <v>45</v>
      </c>
      <c r="B11" s="2" t="n">
        <v>10</v>
      </c>
      <c r="C11" s="2" t="s">
        <v>57</v>
      </c>
      <c r="D11" s="3" t="n">
        <f aca="false">SUMIFS(ยอดขายรายเดือน!$I$2:$I$721,ยอดขายรายเดือน!$B$2:$B$721,$B11)</f>
        <v>18587645.33</v>
      </c>
      <c r="E11" s="3" t="n">
        <f aca="false">SUMIFS(ยอดขายรายเดือน!$I$2:$I$721,ยอดขายรายเดือน!$B$2:$B$721,$B11,ยอดขายรายเดือน!$E$2:$E$721,"โรงพยาบาลรัฐ")</f>
        <v>6455115</v>
      </c>
      <c r="F11" s="3" t="n">
        <f aca="false">SUMIFS(ยอดขายรายเดือน!$I$2:$I$721,ยอดขายรายเดือน!$B$2:$B$721,$B11,ยอดขายรายเดือน!$E$2:$E$721,"โรงพยาบาลเอกชน")</f>
        <v>3679492.95</v>
      </c>
      <c r="G11" s="3" t="n">
        <f aca="false">SUMIFS(ยอดขายรายเดือน!$I$2:$I$721,ยอดขายรายเดือน!$B$2:$B$721,$B11,ยอดขายรายเดือน!$E$2:$E$721,"ร้านขายยา")</f>
        <v>4322453</v>
      </c>
      <c r="H11" s="3" t="n">
        <f aca="false">SUMIFS(ยอดขายรายเดือน!$I$2:$I$721,ยอดขายรายเดือน!$B$2:$B$721,$B11,ยอดขายรายเดือน!$E$2:$E$721,"ส่งออก")</f>
        <v>4130584.38</v>
      </c>
    </row>
    <row r="12" customFormat="false" ht="15" hidden="false" customHeight="false" outlineLevel="0" collapsed="false">
      <c r="A12" s="2" t="s">
        <v>46</v>
      </c>
      <c r="B12" s="2" t="n">
        <v>11</v>
      </c>
      <c r="C12" s="2" t="s">
        <v>57</v>
      </c>
      <c r="D12" s="3" t="n">
        <f aca="false">SUMIFS(ยอดขายรายเดือน!$I$2:$I$721,ยอดขายรายเดือน!$B$2:$B$721,$B12)</f>
        <v>18469855.04</v>
      </c>
      <c r="E12" s="3" t="n">
        <f aca="false">SUMIFS(ยอดขายรายเดือน!$I$2:$I$721,ยอดขายรายเดือน!$B$2:$B$721,$B12,ยอดขายรายเดือน!$E$2:$E$721,"โรงพยาบาลรัฐ")</f>
        <v>6325677</v>
      </c>
      <c r="F12" s="3" t="n">
        <f aca="false">SUMIFS(ยอดขายรายเดือน!$I$2:$I$721,ยอดขายรายเดือน!$B$2:$B$721,$B12,ยอดขายรายเดือน!$E$2:$E$721,"โรงพยาบาลเอกชน")</f>
        <v>3669596.7</v>
      </c>
      <c r="G12" s="3" t="n">
        <f aca="false">SUMIFS(ยอดขายรายเดือน!$I$2:$I$721,ยอดขายรายเดือน!$B$2:$B$721,$B12,ยอดขายรายเดือน!$E$2:$E$721,"ร้านขายยา")</f>
        <v>4233524</v>
      </c>
      <c r="H12" s="3" t="n">
        <f aca="false">SUMIFS(ยอดขายรายเดือน!$I$2:$I$721,ยอดขายรายเดือน!$B$2:$B$721,$B12,ยอดขายรายเดือน!$E$2:$E$721,"ส่งออก")</f>
        <v>4241057.34</v>
      </c>
    </row>
    <row r="13" customFormat="false" ht="15" hidden="false" customHeight="false" outlineLevel="0" collapsed="false">
      <c r="A13" s="2" t="s">
        <v>47</v>
      </c>
      <c r="B13" s="2" t="n">
        <v>12</v>
      </c>
      <c r="C13" s="2" t="s">
        <v>57</v>
      </c>
      <c r="D13" s="3" t="n">
        <f aca="false">SUMIFS(ยอดขายรายเดือน!$I$2:$I$721,ยอดขายรายเดือน!$B$2:$B$721,$B13)</f>
        <v>15620542.29</v>
      </c>
      <c r="E13" s="3" t="n">
        <f aca="false">SUMIFS(ยอดขายรายเดือน!$I$2:$I$721,ยอดขายรายเดือน!$B$2:$B$721,$B13,ยอดขายรายเดือน!$E$2:$E$721,"โรงพยาบาลรัฐ")</f>
        <v>5424871.5</v>
      </c>
      <c r="F13" s="3" t="n">
        <f aca="false">SUMIFS(ยอดขายรายเดือน!$I$2:$I$721,ยอดขายรายเดือน!$B$2:$B$721,$B13,ยอดขายรายเดือน!$E$2:$E$721,"โรงพยาบาลเอกชน")</f>
        <v>3019903.95</v>
      </c>
      <c r="G13" s="3" t="n">
        <f aca="false">SUMIFS(ยอดขายรายเดือน!$I$2:$I$721,ยอดขายรายเดือน!$B$2:$B$721,$B13,ยอดขายรายเดือน!$E$2:$E$721,"ร้านขายยา")</f>
        <v>3467859</v>
      </c>
      <c r="H13" s="3" t="n">
        <f aca="false">SUMIFS(ยอดขายรายเดือน!$I$2:$I$721,ยอดขายรายเดือน!$B$2:$B$721,$B13,ยอดขายรายเดือน!$E$2:$E$721,"ส่งออก")</f>
        <v>3707907.84</v>
      </c>
    </row>
    <row r="14" customFormat="false" ht="15" hidden="false" customHeight="false" outlineLevel="0" collapsed="false">
      <c r="A14" s="5" t="s">
        <v>58</v>
      </c>
      <c r="B14" s="5"/>
      <c r="C14" s="5"/>
      <c r="D14" s="6" t="n">
        <f aca="false">SUM(D2:D13)</f>
        <v>203204758.66</v>
      </c>
      <c r="E14" s="6" t="n">
        <f aca="false">SUM(E2:E13)</f>
        <v>76583542.5</v>
      </c>
      <c r="F14" s="6" t="n">
        <f aca="false">SUM(F2:F13)</f>
        <v>40709411.4</v>
      </c>
      <c r="G14" s="6" t="n">
        <f aca="false">SUM(G2:G13)</f>
        <v>47472319</v>
      </c>
      <c r="H14" s="6" t="n">
        <f aca="false">SUM(H2:H13)</f>
        <v>38439485.76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7" t="s">
        <v>59</v>
      </c>
    </row>
    <row r="3" customFormat="false" ht="30" hidden="false" customHeight="true" outlineLevel="0" collapsed="false">
      <c r="A3" s="8" t="s">
        <v>60</v>
      </c>
    </row>
    <row r="5" customFormat="false" ht="30" hidden="false" customHeight="true" outlineLevel="0" collapsed="false">
      <c r="A5" s="9" t="s">
        <v>61</v>
      </c>
    </row>
    <row r="7" customFormat="false" ht="30" hidden="false" customHeight="true" outlineLevel="0" collapsed="false">
      <c r="A7" s="9" t="s">
        <v>62</v>
      </c>
    </row>
    <row r="9" customFormat="false" ht="30" hidden="false" customHeight="true" outlineLevel="0" collapsed="false">
      <c r="A9" s="9" t="s">
        <v>63</v>
      </c>
    </row>
    <row r="11" customFormat="false" ht="30" hidden="false" customHeight="true" outlineLevel="0" collapsed="false">
      <c r="A11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2026-08-19T08:59:16Z</dcterms:created>
  <dc:creator>openpyxl</dc:creator>
  <dc:description/>
  <dc:language>en-US</dc:language>
  <cp:lastModifiedBy/>
  <dcterms:modified xsi:type="dcterms:W3CDTF">2026-08-19T08:59:16Z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