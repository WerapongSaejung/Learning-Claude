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ต้นทุนรายผลิตภัณฑ์" sheetId="1" state="visible" r:id="rId3"/>
    <sheet name="ตัวคูณราคาตามช่องทาง" sheetId="2" state="visible" r:id="rId4"/>
    <sheet name="หมายเหต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<sst xmlns="http://schemas.openxmlformats.org/spreadsheetml/2006/main" count="72" uniqueCount="50">
  <si>
    <t xml:space="preserve">ผลิตภัณฑ์</t>
  </si>
  <si>
    <t xml:space="preserve">กลุ่มผลิตภัณฑ์</t>
  </si>
  <si>
    <t xml:space="preserve">หน่วยนับ</t>
  </si>
  <si>
    <t xml:space="preserve">ต้นทุนวัตถุดิบ (บาท/หน่วย)</t>
  </si>
  <si>
    <t xml:space="preserve">ต้นทุนบรรจุภัณฑ์ (บาท/หน่วย)</t>
  </si>
  <si>
    <t xml:space="preserve">ค่าแรงและโสหุ้ยผลิต (บาท/หน่วย)</t>
  </si>
  <si>
    <t xml:space="preserve">ต้นทุนรวม (บาท/หน่วย)</t>
  </si>
  <si>
    <t xml:space="preserve">ราคาอ้างอิง (บาท/หน่วย)</t>
  </si>
  <si>
    <t xml:space="preserve">กำไรขั้นต้น (บาท/หน่วย)</t>
  </si>
  <si>
    <t xml:space="preserve">อัตรากำไรขั้นต้น</t>
  </si>
  <si>
    <t xml:space="preserve">Ceftriaxone T P</t>
  </si>
  <si>
    <t xml:space="preserve">ยาฉีดปราศจากเชื้อ — Cephalosporin</t>
  </si>
  <si>
    <t xml:space="preserve">vial</t>
  </si>
  <si>
    <t xml:space="preserve">Cefazillin</t>
  </si>
  <si>
    <t xml:space="preserve">Clatacef</t>
  </si>
  <si>
    <t xml:space="preserve">Sterile Ampicillin Sodium T P</t>
  </si>
  <si>
    <t xml:space="preserve">ยาฉีดปราศจากเชื้อ</t>
  </si>
  <si>
    <t xml:space="preserve">Gentamicin T P</t>
  </si>
  <si>
    <t xml:space="preserve">ampoule</t>
  </si>
  <si>
    <t xml:space="preserve">Kanamycin Sulfate Injection T P</t>
  </si>
  <si>
    <t xml:space="preserve">Furosemide Injection T P</t>
  </si>
  <si>
    <t xml:space="preserve">Vitamin C Injection T P</t>
  </si>
  <si>
    <t xml:space="preserve">B-100 Complex Injection T P</t>
  </si>
  <si>
    <t xml:space="preserve">Paramol T P</t>
  </si>
  <si>
    <t xml:space="preserve">ยาเม็ด</t>
  </si>
  <si>
    <t xml:space="preserve">กล่อง 100 เม็ด</t>
  </si>
  <si>
    <t xml:space="preserve">Tramadol T P</t>
  </si>
  <si>
    <t xml:space="preserve">K-CIL</t>
  </si>
  <si>
    <t xml:space="preserve">Dexton</t>
  </si>
  <si>
    <t xml:space="preserve">Medeton</t>
  </si>
  <si>
    <t xml:space="preserve">ยาใช้ภายนอก</t>
  </si>
  <si>
    <t xml:space="preserve">ขวด</t>
  </si>
  <si>
    <t xml:space="preserve">Transic</t>
  </si>
  <si>
    <t xml:space="preserve">ช่องทางจำหน่าย</t>
  </si>
  <si>
    <t xml:space="preserve">ตัวคูณราคาเทียบราคาอ้างอิง</t>
  </si>
  <si>
    <t xml:space="preserve">หมายเหตุ</t>
  </si>
  <si>
    <t xml:space="preserve">โรงพยาบาลรัฐ</t>
  </si>
  <si>
    <t xml:space="preserve">ราคาจากการประมูล ต่ำกว่าราคาอ้างอิง</t>
  </si>
  <si>
    <t xml:space="preserve">โรงพยาบาลเอกชน</t>
  </si>
  <si>
    <t xml:space="preserve">ราคาสูงสุด แต่ปริมาณต่อคำสั่งซื้อต่ำ</t>
  </si>
  <si>
    <t xml:space="preserve">ร้านขายยา</t>
  </si>
  <si>
    <t xml:space="preserve">ใช้ราคาอ้างอิงเป็นหลัก</t>
  </si>
  <si>
    <t xml:space="preserve">ส่งออก</t>
  </si>
  <si>
    <t xml:space="preserve">ราคาต่อหน่วยต่ำสุด แลกกับปริมาณต่อคำสั่งซื้อสูง</t>
  </si>
  <si>
    <t xml:space="preserve">หมายเหตุประกอบไฟล์</t>
  </si>
  <si>
    <t xml:space="preserve">ข้อมูลสมมติเพื่อการฝึกอบรม — ไม่ใช่ข้อมูลจริงของบริษัท ห้ามนำไปใช้อ้างอิงในงานจริง</t>
  </si>
  <si>
    <t xml:space="preserve">ต้นทุนรวมต่อหน่วยและกำไรขั้นต้นคำนวณด้วยสูตรในไฟล์ ไม่ได้กรอกเป็นตัวเลขตายตัว</t>
  </si>
  <si>
    <t xml:space="preserve">อัตรากำไรขั้นต้นในชีตนี้คิดจากราคาอ้างอิง ยังไม่ได้คิดตัวคูณราคาตามช่องทาง</t>
  </si>
  <si>
    <t xml:space="preserve">ชีต "ตัวคูณราคาตามช่องทาง" คือกุญแจสำคัญของโจทย์ M3 — ยอดขายที่โตจากช่องทางส่งออกให้กำไรต่อหน่วยต่ำกว่าช่องทางอื่น</t>
  </si>
  <si>
    <t xml:space="preserve">ไฟล์นี้ใช้ประกอบโมดูล M3 (สร้างไฟล์ออกมาจริง) คู่กับ TP-01-sales-monthly.xlsx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</si>
</sst>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ahoma"/>
      <family val="0"/>
      <charset val="1"/>
    </font>
    <font>
      <sz val="10"/>
      <name val="Tahoma"/>
      <family val="0"/>
      <charset val="1"/>
    </font>
    <font>
      <b val="true"/>
      <sz val="13"/>
      <name val="Tahoma"/>
      <family val="0"/>
      <charset val="1"/>
    </font>
    <font>
      <b val="true"/>
      <sz val="1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8" min="7" style="0" width="20"/>
    <col collapsed="false" customWidth="true" hidden="false" outlineLevel="0" max="9" min="9" style="0" width="22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15.59</v>
      </c>
      <c r="E2" s="3" t="n">
        <v>3.96</v>
      </c>
      <c r="F2" s="3" t="n">
        <v>8.59</v>
      </c>
      <c r="G2" s="3" t="n">
        <f aca="false">D2+E2+F2</f>
        <v>28.14</v>
      </c>
      <c r="H2" s="3" t="n">
        <v>42</v>
      </c>
      <c r="I2" s="3" t="n">
        <f aca="false">H2-G2</f>
        <v>13.86</v>
      </c>
      <c r="J2" s="4" t="n">
        <f aca="false">IFERROR(I2/H2,"")</f>
        <v>0.33</v>
      </c>
    </row>
    <row r="3" customFormat="false" ht="15" hidden="false" customHeight="false" outlineLevel="0" collapsed="false">
      <c r="A3" s="2" t="s">
        <v>13</v>
      </c>
      <c r="B3" s="2" t="s">
        <v>11</v>
      </c>
      <c r="C3" s="2" t="s">
        <v>12</v>
      </c>
      <c r="D3" s="3" t="n">
        <v>14.86</v>
      </c>
      <c r="E3" s="3" t="n">
        <v>2.46</v>
      </c>
      <c r="F3" s="3" t="n">
        <v>7.21</v>
      </c>
      <c r="G3" s="3" t="n">
        <f aca="false">D3+E3+F3</f>
        <v>24.53</v>
      </c>
      <c r="H3" s="3" t="n">
        <v>38</v>
      </c>
      <c r="I3" s="3" t="n">
        <f aca="false">H3-G3</f>
        <v>13.47</v>
      </c>
      <c r="J3" s="4" t="n">
        <f aca="false">IFERROR(I3/H3,"")</f>
        <v>0.354473684210526</v>
      </c>
    </row>
    <row r="4" customFormat="false" ht="15" hidden="false" customHeight="false" outlineLevel="0" collapsed="false">
      <c r="A4" s="2" t="s">
        <v>14</v>
      </c>
      <c r="B4" s="2" t="s">
        <v>11</v>
      </c>
      <c r="C4" s="2" t="s">
        <v>12</v>
      </c>
      <c r="D4" s="3" t="n">
        <v>20.89</v>
      </c>
      <c r="E4" s="3" t="n">
        <v>3.93</v>
      </c>
      <c r="F4" s="3" t="n">
        <v>12.26</v>
      </c>
      <c r="G4" s="3" t="n">
        <f aca="false">D4+E4+F4</f>
        <v>37.08</v>
      </c>
      <c r="H4" s="3" t="n">
        <v>55</v>
      </c>
      <c r="I4" s="3" t="n">
        <f aca="false">H4-G4</f>
        <v>17.92</v>
      </c>
      <c r="J4" s="4" t="n">
        <f aca="false">IFERROR(I4/H4,"")</f>
        <v>0.325818181818182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12</v>
      </c>
      <c r="D5" s="3" t="n">
        <v>10.84</v>
      </c>
      <c r="E5" s="3" t="n">
        <v>2.41</v>
      </c>
      <c r="F5" s="3" t="n">
        <v>3.78</v>
      </c>
      <c r="G5" s="3" t="n">
        <f aca="false">D5+E5+F5</f>
        <v>17.03</v>
      </c>
      <c r="H5" s="3" t="n">
        <v>26</v>
      </c>
      <c r="I5" s="3" t="n">
        <f aca="false">H5-G5</f>
        <v>8.97</v>
      </c>
      <c r="J5" s="4" t="n">
        <f aca="false">IFERROR(I5/H5,"")</f>
        <v>0.345</v>
      </c>
    </row>
    <row r="6" customFormat="false" ht="15" hidden="false" customHeight="false" outlineLevel="0" collapsed="false">
      <c r="A6" s="2" t="s">
        <v>17</v>
      </c>
      <c r="B6" s="2" t="s">
        <v>16</v>
      </c>
      <c r="C6" s="2" t="s">
        <v>18</v>
      </c>
      <c r="D6" s="3" t="n">
        <v>5.44</v>
      </c>
      <c r="E6" s="3" t="n">
        <v>0.97</v>
      </c>
      <c r="F6" s="3" t="n">
        <v>3.33</v>
      </c>
      <c r="G6" s="3" t="n">
        <f aca="false">D6+E6+F6</f>
        <v>9.74</v>
      </c>
      <c r="H6" s="3" t="n">
        <v>14</v>
      </c>
      <c r="I6" s="3" t="n">
        <f aca="false">H6-G6</f>
        <v>4.26</v>
      </c>
      <c r="J6" s="4" t="n">
        <f aca="false">IFERROR(I6/H6,"")</f>
        <v>0.304285714285714</v>
      </c>
    </row>
    <row r="7" customFormat="false" ht="15" hidden="false" customHeight="false" outlineLevel="0" collapsed="false">
      <c r="A7" s="2" t="s">
        <v>19</v>
      </c>
      <c r="B7" s="2" t="s">
        <v>16</v>
      </c>
      <c r="C7" s="2" t="s">
        <v>12</v>
      </c>
      <c r="D7" s="3" t="n">
        <v>11.55</v>
      </c>
      <c r="E7" s="3" t="n">
        <v>2.14</v>
      </c>
      <c r="F7" s="3" t="n">
        <v>5.73</v>
      </c>
      <c r="G7" s="3" t="n">
        <f aca="false">D7+E7+F7</f>
        <v>19.42</v>
      </c>
      <c r="H7" s="3" t="n">
        <v>31</v>
      </c>
      <c r="I7" s="3" t="n">
        <f aca="false">H7-G7</f>
        <v>11.58</v>
      </c>
      <c r="J7" s="4" t="n">
        <f aca="false">IFERROR(I7/H7,"")</f>
        <v>0.373548387096774</v>
      </c>
    </row>
    <row r="8" customFormat="false" ht="15" hidden="false" customHeight="false" outlineLevel="0" collapsed="false">
      <c r="A8" s="2" t="s">
        <v>20</v>
      </c>
      <c r="B8" s="2" t="s">
        <v>16</v>
      </c>
      <c r="C8" s="2" t="s">
        <v>18</v>
      </c>
      <c r="D8" s="3" t="n">
        <v>4.77</v>
      </c>
      <c r="E8" s="3" t="n">
        <v>1.26</v>
      </c>
      <c r="F8" s="3" t="n">
        <v>2.07</v>
      </c>
      <c r="G8" s="3" t="n">
        <f aca="false">D8+E8+F8</f>
        <v>8.1</v>
      </c>
      <c r="H8" s="3" t="n">
        <v>12</v>
      </c>
      <c r="I8" s="3" t="n">
        <f aca="false">H8-G8</f>
        <v>3.9</v>
      </c>
      <c r="J8" s="4" t="n">
        <f aca="false">IFERROR(I8/H8,"")</f>
        <v>0.325</v>
      </c>
    </row>
    <row r="9" customFormat="false" ht="15" hidden="false" customHeight="false" outlineLevel="0" collapsed="false">
      <c r="A9" s="2" t="s">
        <v>21</v>
      </c>
      <c r="B9" s="2" t="s">
        <v>16</v>
      </c>
      <c r="C9" s="2" t="s">
        <v>18</v>
      </c>
      <c r="D9" s="3" t="n">
        <v>2.88</v>
      </c>
      <c r="E9" s="3" t="n">
        <v>0.71</v>
      </c>
      <c r="F9" s="3" t="n">
        <v>1.12</v>
      </c>
      <c r="G9" s="3" t="n">
        <f aca="false">D9+E9+F9</f>
        <v>4.71</v>
      </c>
      <c r="H9" s="3" t="n">
        <v>9</v>
      </c>
      <c r="I9" s="3" t="n">
        <f aca="false">H9-G9</f>
        <v>4.29</v>
      </c>
      <c r="J9" s="4" t="n">
        <f aca="false">IFERROR(I9/H9,"")</f>
        <v>0.476666666666667</v>
      </c>
    </row>
    <row r="10" customFormat="false" ht="15" hidden="false" customHeight="false" outlineLevel="0" collapsed="false">
      <c r="A10" s="2" t="s">
        <v>22</v>
      </c>
      <c r="B10" s="2" t="s">
        <v>16</v>
      </c>
      <c r="C10" s="2" t="s">
        <v>18</v>
      </c>
      <c r="D10" s="3" t="n">
        <v>5.7</v>
      </c>
      <c r="E10" s="3" t="n">
        <v>1.4</v>
      </c>
      <c r="F10" s="3" t="n">
        <v>2.03</v>
      </c>
      <c r="G10" s="3" t="n">
        <f aca="false">D10+E10+F10</f>
        <v>9.13</v>
      </c>
      <c r="H10" s="3" t="n">
        <v>16</v>
      </c>
      <c r="I10" s="3" t="n">
        <f aca="false">H10-G10</f>
        <v>6.87</v>
      </c>
      <c r="J10" s="4" t="n">
        <f aca="false">IFERROR(I10/H10,"")</f>
        <v>0.429375</v>
      </c>
    </row>
    <row r="11" customFormat="false" ht="15" hidden="false" customHeight="false" outlineLevel="0" collapsed="false">
      <c r="A11" s="2" t="s">
        <v>23</v>
      </c>
      <c r="B11" s="2" t="s">
        <v>24</v>
      </c>
      <c r="C11" s="2" t="s">
        <v>25</v>
      </c>
      <c r="D11" s="3" t="n">
        <v>16.38</v>
      </c>
      <c r="E11" s="3" t="n">
        <v>3.38</v>
      </c>
      <c r="F11" s="3" t="n">
        <v>7.73</v>
      </c>
      <c r="G11" s="3" t="n">
        <f aca="false">D11+E11+F11</f>
        <v>27.49</v>
      </c>
      <c r="H11" s="3" t="n">
        <v>48</v>
      </c>
      <c r="I11" s="3" t="n">
        <f aca="false">H11-G11</f>
        <v>20.51</v>
      </c>
      <c r="J11" s="4" t="n">
        <f aca="false">IFERROR(I11/H11,"")</f>
        <v>0.427291666666667</v>
      </c>
    </row>
    <row r="12" customFormat="false" ht="15" hidden="false" customHeight="false" outlineLevel="0" collapsed="false">
      <c r="A12" s="2" t="s">
        <v>26</v>
      </c>
      <c r="B12" s="2" t="s">
        <v>24</v>
      </c>
      <c r="C12" s="2" t="s">
        <v>25</v>
      </c>
      <c r="D12" s="3" t="n">
        <v>52.64</v>
      </c>
      <c r="E12" s="3" t="n">
        <v>10.59</v>
      </c>
      <c r="F12" s="3" t="n">
        <v>18.5</v>
      </c>
      <c r="G12" s="3" t="n">
        <f aca="false">D12+E12+F12</f>
        <v>81.73</v>
      </c>
      <c r="H12" s="3" t="n">
        <v>120</v>
      </c>
      <c r="I12" s="3" t="n">
        <f aca="false">H12-G12</f>
        <v>38.27</v>
      </c>
      <c r="J12" s="4" t="n">
        <f aca="false">IFERROR(I12/H12,"")</f>
        <v>0.318916666666667</v>
      </c>
    </row>
    <row r="13" customFormat="false" ht="15" hidden="false" customHeight="false" outlineLevel="0" collapsed="false">
      <c r="A13" s="2" t="s">
        <v>27</v>
      </c>
      <c r="B13" s="2" t="s">
        <v>24</v>
      </c>
      <c r="C13" s="2" t="s">
        <v>25</v>
      </c>
      <c r="D13" s="3" t="n">
        <v>40.06</v>
      </c>
      <c r="E13" s="3" t="n">
        <v>7.64</v>
      </c>
      <c r="F13" s="3" t="n">
        <v>13.16</v>
      </c>
      <c r="G13" s="3" t="n">
        <f aca="false">D13+E13+F13</f>
        <v>60.86</v>
      </c>
      <c r="H13" s="3" t="n">
        <v>95</v>
      </c>
      <c r="I13" s="3" t="n">
        <f aca="false">H13-G13</f>
        <v>34.14</v>
      </c>
      <c r="J13" s="4" t="n">
        <f aca="false">IFERROR(I13/H13,"")</f>
        <v>0.359368421052632</v>
      </c>
    </row>
    <row r="14" customFormat="false" ht="15" hidden="false" customHeight="false" outlineLevel="0" collapsed="false">
      <c r="A14" s="2" t="s">
        <v>28</v>
      </c>
      <c r="B14" s="2" t="s">
        <v>24</v>
      </c>
      <c r="C14" s="2" t="s">
        <v>25</v>
      </c>
      <c r="D14" s="3" t="n">
        <v>20.22</v>
      </c>
      <c r="E14" s="3" t="n">
        <v>4.13</v>
      </c>
      <c r="F14" s="3" t="n">
        <v>11.75</v>
      </c>
      <c r="G14" s="3" t="n">
        <f aca="false">D14+E14+F14</f>
        <v>36.1</v>
      </c>
      <c r="H14" s="3" t="n">
        <v>68</v>
      </c>
      <c r="I14" s="3" t="n">
        <f aca="false">H14-G14</f>
        <v>31.9</v>
      </c>
      <c r="J14" s="4" t="n">
        <f aca="false">IFERROR(I14/H14,"")</f>
        <v>0.469117647058824</v>
      </c>
    </row>
    <row r="15" customFormat="false" ht="15" hidden="false" customHeight="false" outlineLevel="0" collapsed="false">
      <c r="A15" s="2" t="s">
        <v>29</v>
      </c>
      <c r="B15" s="2" t="s">
        <v>30</v>
      </c>
      <c r="C15" s="2" t="s">
        <v>31</v>
      </c>
      <c r="D15" s="3" t="n">
        <v>14.28</v>
      </c>
      <c r="E15" s="3" t="n">
        <v>3.2</v>
      </c>
      <c r="F15" s="3" t="n">
        <v>4.76</v>
      </c>
      <c r="G15" s="3" t="n">
        <f aca="false">D15+E15+F15</f>
        <v>22.24</v>
      </c>
      <c r="H15" s="3" t="n">
        <v>35</v>
      </c>
      <c r="I15" s="3" t="n">
        <f aca="false">H15-G15</f>
        <v>12.76</v>
      </c>
      <c r="J15" s="4" t="n">
        <f aca="false">IFERROR(I15/H15,"")</f>
        <v>0.364571428571429</v>
      </c>
    </row>
    <row r="16" customFormat="false" ht="15" hidden="false" customHeight="false" outlineLevel="0" collapsed="false">
      <c r="A16" s="2" t="s">
        <v>32</v>
      </c>
      <c r="B16" s="2" t="s">
        <v>30</v>
      </c>
      <c r="C16" s="2" t="s">
        <v>31</v>
      </c>
      <c r="D16" s="3" t="n">
        <v>15.28</v>
      </c>
      <c r="E16" s="3" t="n">
        <v>2.84</v>
      </c>
      <c r="F16" s="3" t="n">
        <v>7.23</v>
      </c>
      <c r="G16" s="3" t="n">
        <f aca="false">D16+E16+F16</f>
        <v>25.35</v>
      </c>
      <c r="H16" s="3" t="n">
        <v>44</v>
      </c>
      <c r="I16" s="3" t="n">
        <f aca="false">H16-G16</f>
        <v>18.65</v>
      </c>
      <c r="J16" s="4" t="n">
        <f aca="false">IFERROR(I16/H16,"")</f>
        <v>0.423863636363636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</row>
    <row r="2" customFormat="false" ht="15" hidden="false" customHeight="false" outlineLevel="0" collapsed="false">
      <c r="A2" s="2" t="s">
        <v>36</v>
      </c>
      <c r="B2" s="5" t="n">
        <v>0.9</v>
      </c>
      <c r="C2" s="2" t="s">
        <v>37</v>
      </c>
    </row>
    <row r="3" customFormat="false" ht="15" hidden="false" customHeight="false" outlineLevel="0" collapsed="false">
      <c r="A3" s="2" t="s">
        <v>38</v>
      </c>
      <c r="B3" s="5" t="n">
        <v>1.05</v>
      </c>
      <c r="C3" s="2" t="s">
        <v>39</v>
      </c>
    </row>
    <row r="4" customFormat="false" ht="15" hidden="false" customHeight="false" outlineLevel="0" collapsed="false">
      <c r="A4" s="2" t="s">
        <v>40</v>
      </c>
      <c r="B4" s="5" t="n">
        <v>1</v>
      </c>
      <c r="C4" s="2" t="s">
        <v>41</v>
      </c>
    </row>
    <row r="5" customFormat="false" ht="15" hidden="false" customHeight="false" outlineLevel="0" collapsed="false">
      <c r="A5" s="2" t="s">
        <v>42</v>
      </c>
      <c r="B5" s="5" t="n">
        <v>0.78</v>
      </c>
      <c r="C5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6" t="s">
        <v>44</v>
      </c>
    </row>
    <row r="3" customFormat="false" ht="30" hidden="false" customHeight="true" outlineLevel="0" collapsed="false">
      <c r="A3" s="7" t="s">
        <v>45</v>
      </c>
    </row>
    <row r="5" customFormat="false" ht="30" hidden="false" customHeight="true" outlineLevel="0" collapsed="false">
      <c r="A5" s="8" t="s">
        <v>46</v>
      </c>
    </row>
    <row r="7" customFormat="false" ht="30" hidden="false" customHeight="true" outlineLevel="0" collapsed="false">
      <c r="A7" s="8" t="s">
        <v>47</v>
      </c>
    </row>
    <row r="9" customFormat="false" ht="30" hidden="false" customHeight="true" outlineLevel="0" collapsed="false">
      <c r="A9" s="8" t="s">
        <v>48</v>
      </c>
    </row>
    <row r="11" customFormat="false" ht="30" hidden="false" customHeight="true" outlineLevel="0" collapsed="false">
      <c r="A11" s="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2026-08-19T08:59:16Z</dcterms:created>
  <dc:creator>openpyxl</dc:creator>
  <dc:description/>
  <dc:language>en-US</dc:language>
  <cp:lastModifiedBy/>
  <dcterms:modified xsi:type="dcterms:W3CDTF">2026-08-19T08:59:16Z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